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Development\NET_Projects\XLToolkit\Workbooks\"/>
    </mc:Choice>
  </mc:AlternateContent>
  <xr:revisionPtr revIDLastSave="0" documentId="13_ncr:1_{7F4A1EC5-A21B-45D4-B7EA-DA417855EEA6}" xr6:coauthVersionLast="36" xr6:coauthVersionMax="36" xr10:uidLastSave="{00000000-0000-0000-0000-000000000000}"/>
  <bookViews>
    <workbookView xWindow="0" yWindow="0" windowWidth="19200" windowHeight="11600" xr2:uid="{00000000-000D-0000-FFFF-FFFF00000000}"/>
  </bookViews>
  <sheets>
    <sheet name="(Not)Unique" sheetId="2" r:id="rId1"/>
    <sheet name="FilterRange" sheetId="4" r:id="rId2"/>
    <sheet name="MatchAll" sheetId="5" r:id="rId3"/>
    <sheet name="H-V-Cat" sheetId="6" r:id="rId4"/>
    <sheet name="Strings" sheetId="7" r:id="rId5"/>
    <sheet name="Errors" sheetId="1" r:id="rId6"/>
  </sheets>
  <functionGroups builtInGroupCount="19"/>
  <definedNames>
    <definedName name="dvBool">Errors!$I$3:$I$4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2" i="7" l="1"/>
  <c r="G6" i="1"/>
  <c r="G4" i="1"/>
  <c r="F4" i="1" s="1"/>
  <c r="F3" i="1"/>
  <c r="F5" i="1"/>
  <c r="F6" i="1"/>
  <c r="F7" i="1"/>
  <c r="F8" i="1"/>
  <c r="F9" i="1"/>
  <c r="F10" i="1"/>
  <c r="F11" i="1"/>
  <c r="F12" i="1"/>
  <c r="F13" i="1"/>
  <c r="F14" i="1"/>
  <c r="F15" i="1"/>
  <c r="F2" i="1"/>
  <c r="G2" i="1"/>
  <c r="G30" i="7"/>
  <c r="G19" i="7"/>
  <c r="G26" i="7"/>
  <c r="G20" i="7"/>
  <c r="G21" i="7"/>
  <c r="G22" i="7"/>
  <c r="G25" i="7"/>
  <c r="G23" i="7"/>
  <c r="G24" i="7"/>
  <c r="G27" i="7"/>
  <c r="G18" i="7"/>
  <c r="G12" i="7"/>
  <c r="B2" i="7" l="1"/>
  <c r="C15" i="1"/>
  <c r="C14" i="1"/>
  <c r="G4" i="7" a="1"/>
  <c r="G6" i="7" a="1"/>
  <c r="D15" i="1"/>
  <c r="D14" i="1"/>
  <c r="E14" i="1" l="1"/>
  <c r="E15" i="1"/>
  <c r="G6" i="7"/>
  <c r="G8" i="7"/>
  <c r="G7" i="7"/>
  <c r="G4" i="7"/>
  <c r="I4" i="7"/>
  <c r="H4" i="7"/>
  <c r="W26" i="7"/>
  <c r="C11" i="1"/>
  <c r="C13" i="1"/>
  <c r="C12" i="1"/>
  <c r="C10" i="1"/>
  <c r="E2" i="7" a="1"/>
  <c r="B4" i="7" a="1"/>
  <c r="D11" i="1"/>
  <c r="D13" i="1"/>
  <c r="D12" i="1"/>
  <c r="D10" i="1"/>
  <c r="E10" i="1" l="1"/>
  <c r="E12" i="1"/>
  <c r="E13" i="1"/>
  <c r="E11" i="1"/>
  <c r="B8" i="7"/>
  <c r="B9" i="7"/>
  <c r="B4" i="7"/>
  <c r="B5" i="7"/>
  <c r="B6" i="7"/>
  <c r="B7" i="7"/>
  <c r="E2" i="7"/>
  <c r="G2" i="7"/>
  <c r="H2" i="7"/>
  <c r="I2" i="7"/>
  <c r="J2" i="7"/>
  <c r="F2" i="7"/>
  <c r="C5" i="6"/>
  <c r="B14" i="6" a="1"/>
  <c r="B8" i="6" a="1"/>
  <c r="F17" i="6" a="1"/>
  <c r="J8" i="6" a="1"/>
  <c r="B20" i="6" l="1"/>
  <c r="C19" i="6"/>
  <c r="B16" i="6"/>
  <c r="D19" i="6"/>
  <c r="C16" i="6"/>
  <c r="B17" i="6"/>
  <c r="B19" i="6"/>
  <c r="C20" i="6"/>
  <c r="D18" i="6"/>
  <c r="C17" i="6"/>
  <c r="D15" i="6"/>
  <c r="C18" i="6"/>
  <c r="B18" i="6"/>
  <c r="D20" i="6"/>
  <c r="C15" i="6"/>
  <c r="B15" i="6"/>
  <c r="D17" i="6"/>
  <c r="D14" i="6"/>
  <c r="C14" i="6"/>
  <c r="D16" i="6"/>
  <c r="B14" i="6"/>
  <c r="J13" i="6"/>
  <c r="K14" i="6"/>
  <c r="M12" i="6"/>
  <c r="L12" i="6"/>
  <c r="K10" i="6"/>
  <c r="K9" i="6"/>
  <c r="M10" i="6"/>
  <c r="L10" i="6"/>
  <c r="M8" i="6"/>
  <c r="K12" i="6"/>
  <c r="J12" i="6"/>
  <c r="K11" i="6"/>
  <c r="M11" i="6"/>
  <c r="L11" i="6"/>
  <c r="M14" i="6"/>
  <c r="L14" i="6"/>
  <c r="J11" i="6"/>
  <c r="M9" i="6"/>
  <c r="L9" i="6"/>
  <c r="J9" i="6"/>
  <c r="K13" i="6"/>
  <c r="L8" i="6"/>
  <c r="J14" i="6"/>
  <c r="J8" i="6"/>
  <c r="L13" i="6"/>
  <c r="J10" i="6"/>
  <c r="M13" i="6"/>
  <c r="K8" i="6"/>
  <c r="F11" i="6"/>
  <c r="C8" i="6"/>
  <c r="D11" i="6"/>
  <c r="E10" i="6"/>
  <c r="C10" i="6"/>
  <c r="H9" i="6"/>
  <c r="C9" i="6"/>
  <c r="H8" i="6"/>
  <c r="E11" i="6"/>
  <c r="B8" i="6"/>
  <c r="D9" i="6"/>
  <c r="G11" i="6"/>
  <c r="C11" i="6"/>
  <c r="E9" i="6"/>
  <c r="B11" i="6"/>
  <c r="F10" i="6"/>
  <c r="D10" i="6"/>
  <c r="F9" i="6"/>
  <c r="D8" i="6"/>
  <c r="H10" i="6"/>
  <c r="G10" i="6"/>
  <c r="B9" i="6"/>
  <c r="G8" i="6"/>
  <c r="F8" i="6"/>
  <c r="G9" i="6"/>
  <c r="E8" i="6"/>
  <c r="B10" i="6"/>
  <c r="H11" i="6"/>
  <c r="K18" i="6"/>
  <c r="H17" i="6"/>
  <c r="J19" i="6"/>
  <c r="J18" i="6"/>
  <c r="K19" i="6"/>
  <c r="I18" i="6"/>
  <c r="H19" i="6"/>
  <c r="H18" i="6"/>
  <c r="L19" i="6"/>
  <c r="G18" i="6"/>
  <c r="J17" i="6"/>
  <c r="F18" i="6"/>
  <c r="L17" i="6"/>
  <c r="I17" i="6"/>
  <c r="G19" i="6"/>
  <c r="F17" i="6"/>
  <c r="K17" i="6"/>
  <c r="I19" i="6"/>
  <c r="L18" i="6"/>
  <c r="G17" i="6"/>
  <c r="F19" i="6"/>
  <c r="B3" i="5"/>
  <c r="B4" i="5" s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2" i="5"/>
  <c r="F16" i="5"/>
  <c r="G16" i="5" s="1"/>
  <c r="G6" i="5"/>
  <c r="C9" i="5"/>
  <c r="F8" i="5" a="1"/>
  <c r="F18" i="5" a="1"/>
  <c r="G12" i="2" a="1"/>
  <c r="F12" i="5" a="1"/>
  <c r="F22" i="5" a="1"/>
  <c r="G17" i="2" a="1"/>
  <c r="F22" i="5" l="1"/>
  <c r="G22" i="5"/>
  <c r="H22" i="5"/>
  <c r="F18" i="5"/>
  <c r="F19" i="5"/>
  <c r="F20" i="5"/>
  <c r="F12" i="5"/>
  <c r="H12" i="5"/>
  <c r="G12" i="5"/>
  <c r="F8" i="5"/>
  <c r="F9" i="5"/>
  <c r="F10" i="5"/>
  <c r="G17" i="2"/>
  <c r="H17" i="2"/>
  <c r="G18" i="2"/>
  <c r="H18" i="2"/>
  <c r="G19" i="2"/>
  <c r="H19" i="2"/>
  <c r="G12" i="2"/>
  <c r="G13" i="2"/>
  <c r="H13" i="2"/>
  <c r="G14" i="2"/>
  <c r="H14" i="2"/>
  <c r="H12" i="2"/>
  <c r="F23" i="5" l="1" a="1"/>
  <c r="F23" i="5" s="1"/>
  <c r="G8" i="5" a="1"/>
  <c r="G8" i="5" s="1"/>
  <c r="G18" i="5" a="1"/>
  <c r="G18" i="5" s="1"/>
  <c r="F13" i="5" a="1"/>
  <c r="E4" i="4"/>
  <c r="E5" i="4"/>
  <c r="E6" i="4"/>
  <c r="E7" i="4"/>
  <c r="E8" i="4"/>
  <c r="E9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C2" i="4"/>
  <c r="E2" i="4"/>
  <c r="C3" i="4"/>
  <c r="D3" i="4" s="1"/>
  <c r="C4" i="4"/>
  <c r="D4" i="4" s="1"/>
  <c r="C5" i="4"/>
  <c r="D5" i="4" s="1"/>
  <c r="C6" i="4"/>
  <c r="D6" i="4" s="1"/>
  <c r="C7" i="4"/>
  <c r="D7" i="4" s="1"/>
  <c r="C8" i="4"/>
  <c r="D8" i="4" s="1"/>
  <c r="C9" i="4"/>
  <c r="D9" i="4" s="1"/>
  <c r="B10" i="4"/>
  <c r="C10" i="4" s="1"/>
  <c r="D10" i="4" s="1"/>
  <c r="C11" i="4"/>
  <c r="D11" i="4" s="1"/>
  <c r="C12" i="4"/>
  <c r="D12" i="4" s="1"/>
  <c r="C13" i="4"/>
  <c r="D13" i="4" s="1"/>
  <c r="C14" i="4"/>
  <c r="D14" i="4" s="1"/>
  <c r="C15" i="4"/>
  <c r="D15" i="4" s="1"/>
  <c r="C16" i="4"/>
  <c r="D16" i="4" s="1"/>
  <c r="C17" i="4"/>
  <c r="D17" i="4" s="1"/>
  <c r="C18" i="4"/>
  <c r="D18" i="4" s="1"/>
  <c r="C19" i="4"/>
  <c r="D19" i="4" s="1"/>
  <c r="C20" i="4"/>
  <c r="D20" i="4" s="1"/>
  <c r="C21" i="4"/>
  <c r="D21" i="4" s="1"/>
  <c r="C22" i="4"/>
  <c r="D22" i="4" s="1"/>
  <c r="C23" i="4"/>
  <c r="D23" i="4" s="1"/>
  <c r="C24" i="4"/>
  <c r="D24" i="4" s="1"/>
  <c r="C25" i="4"/>
  <c r="D25" i="4" s="1"/>
  <c r="C26" i="4"/>
  <c r="D26" i="4" s="1"/>
  <c r="C27" i="4"/>
  <c r="D27" i="4" s="1"/>
  <c r="C28" i="4"/>
  <c r="D28" i="4" s="1"/>
  <c r="C29" i="4"/>
  <c r="D29" i="4" s="1"/>
  <c r="C30" i="4"/>
  <c r="D30" i="4" s="1"/>
  <c r="C31" i="4"/>
  <c r="D31" i="4" s="1"/>
  <c r="C32" i="4"/>
  <c r="D32" i="4" s="1"/>
  <c r="C33" i="4"/>
  <c r="D33" i="4" s="1"/>
  <c r="C34" i="4"/>
  <c r="D34" i="4" s="1"/>
  <c r="C35" i="4"/>
  <c r="D35" i="4" s="1"/>
  <c r="C36" i="4"/>
  <c r="D36" i="4" s="1"/>
  <c r="C37" i="4"/>
  <c r="D37" i="4" s="1"/>
  <c r="C38" i="4"/>
  <c r="D38" i="4" s="1"/>
  <c r="C39" i="4"/>
  <c r="D39" i="4" s="1"/>
  <c r="C40" i="4"/>
  <c r="D40" i="4" s="1"/>
  <c r="C41" i="4"/>
  <c r="D41" i="4" s="1"/>
  <c r="C42" i="4"/>
  <c r="D42" i="4" s="1"/>
  <c r="D2" i="4" l="1"/>
  <c r="G10" i="5"/>
  <c r="G20" i="5"/>
  <c r="G9" i="5"/>
  <c r="G19" i="5"/>
  <c r="H23" i="5"/>
  <c r="G23" i="5"/>
  <c r="F13" i="5"/>
  <c r="H13" i="5"/>
  <c r="G13" i="5"/>
  <c r="E10" i="4"/>
  <c r="K8" i="4" a="1"/>
  <c r="G5" i="4" a="1"/>
  <c r="G2" i="4" a="1"/>
  <c r="G13" i="4" a="1"/>
  <c r="I2" i="4" l="1"/>
  <c r="J3" i="4"/>
  <c r="K2" i="4"/>
  <c r="L2" i="4"/>
  <c r="M3" i="4"/>
  <c r="N2" i="4"/>
  <c r="O2" i="4"/>
  <c r="P2" i="4"/>
  <c r="Q3" i="4"/>
  <c r="R2" i="4"/>
  <c r="R3" i="4"/>
  <c r="G2" i="4"/>
  <c r="G3" i="4"/>
  <c r="I3" i="4"/>
  <c r="J2" i="4"/>
  <c r="K3" i="4"/>
  <c r="L3" i="4"/>
  <c r="M2" i="4"/>
  <c r="N3" i="4"/>
  <c r="O3" i="4"/>
  <c r="P3" i="4"/>
  <c r="Q2" i="4"/>
  <c r="H2" i="4"/>
  <c r="H3" i="4"/>
  <c r="R5" i="4"/>
  <c r="H5" i="4"/>
  <c r="G5" i="4"/>
  <c r="M5" i="4"/>
  <c r="N5" i="4"/>
  <c r="P5" i="4"/>
  <c r="I5" i="4"/>
  <c r="J5" i="4"/>
  <c r="K5" i="4"/>
  <c r="O5" i="4"/>
  <c r="L5" i="4"/>
  <c r="Q5" i="4"/>
  <c r="K32" i="4"/>
  <c r="K38" i="4"/>
  <c r="K37" i="4"/>
  <c r="K33" i="4"/>
  <c r="K27" i="4"/>
  <c r="K16" i="4"/>
  <c r="K22" i="4"/>
  <c r="K40" i="4"/>
  <c r="K11" i="4"/>
  <c r="K29" i="4"/>
  <c r="K35" i="4"/>
  <c r="K30" i="4"/>
  <c r="K12" i="4"/>
  <c r="K14" i="4"/>
  <c r="K10" i="4"/>
  <c r="K24" i="4"/>
  <c r="K39" i="4"/>
  <c r="K17" i="4"/>
  <c r="K13" i="4"/>
  <c r="K15" i="4"/>
  <c r="K28" i="4"/>
  <c r="K19" i="4"/>
  <c r="K34" i="4"/>
  <c r="K20" i="4"/>
  <c r="K26" i="4"/>
  <c r="K36" i="4"/>
  <c r="K25" i="4"/>
  <c r="K18" i="4"/>
  <c r="K31" i="4"/>
  <c r="K9" i="4"/>
  <c r="K23" i="4"/>
  <c r="K21" i="4"/>
  <c r="K8" i="4"/>
  <c r="H30" i="4"/>
  <c r="I19" i="4"/>
  <c r="G14" i="4"/>
  <c r="H34" i="4"/>
  <c r="G27" i="4"/>
  <c r="I20" i="4"/>
  <c r="I29" i="4"/>
  <c r="G18" i="4"/>
  <c r="H38" i="4"/>
  <c r="G31" i="4"/>
  <c r="I24" i="4"/>
  <c r="H13" i="4"/>
  <c r="I33" i="4"/>
  <c r="I27" i="4"/>
  <c r="G22" i="4"/>
  <c r="I14" i="4"/>
  <c r="G35" i="4"/>
  <c r="I28" i="4"/>
  <c r="H17" i="4"/>
  <c r="I37" i="4"/>
  <c r="I35" i="4"/>
  <c r="G26" i="4"/>
  <c r="I18" i="4"/>
  <c r="G39" i="4"/>
  <c r="I32" i="4"/>
  <c r="H21" i="4"/>
  <c r="H15" i="4"/>
  <c r="I39" i="4"/>
  <c r="G30" i="4"/>
  <c r="I22" i="4"/>
  <c r="I31" i="4"/>
  <c r="I36" i="4"/>
  <c r="H25" i="4"/>
  <c r="H19" i="4"/>
  <c r="G16" i="4"/>
  <c r="G34" i="4"/>
  <c r="I26" i="4"/>
  <c r="G20" i="4"/>
  <c r="I40" i="4"/>
  <c r="H29" i="4"/>
  <c r="H23" i="4"/>
  <c r="G24" i="4"/>
  <c r="G38" i="4"/>
  <c r="I30" i="4"/>
  <c r="G28" i="4"/>
  <c r="G13" i="4"/>
  <c r="H33" i="4"/>
  <c r="H27" i="4"/>
  <c r="G32" i="4"/>
  <c r="H22" i="4"/>
  <c r="H28" i="4"/>
  <c r="I17" i="4"/>
  <c r="H24" i="4"/>
  <c r="H26" i="4"/>
  <c r="H36" i="4"/>
  <c r="I21" i="4"/>
  <c r="H32" i="4"/>
  <c r="G23" i="4"/>
  <c r="I16" i="4"/>
  <c r="G33" i="4"/>
  <c r="I25" i="4"/>
  <c r="H40" i="4"/>
  <c r="G37" i="4"/>
  <c r="I23" i="4"/>
  <c r="H14" i="4"/>
  <c r="I34" i="4"/>
  <c r="G36" i="4"/>
  <c r="G17" i="4"/>
  <c r="H37" i="4"/>
  <c r="H31" i="4"/>
  <c r="G40" i="4"/>
  <c r="H18" i="4"/>
  <c r="I38" i="4"/>
  <c r="H20" i="4"/>
  <c r="G21" i="4"/>
  <c r="I13" i="4"/>
  <c r="H35" i="4"/>
  <c r="H16" i="4"/>
  <c r="G15" i="4"/>
  <c r="G25" i="4"/>
  <c r="H39" i="4"/>
  <c r="G19" i="4"/>
  <c r="G29" i="4"/>
  <c r="I15" i="4"/>
  <c r="B10" i="2"/>
  <c r="D2" i="2" a="1"/>
  <c r="E5" i="2" a="1"/>
  <c r="D5" i="2" a="1"/>
  <c r="D3" i="2" a="1"/>
  <c r="H2" i="2" l="1"/>
  <c r="J2" i="2"/>
  <c r="F2" i="2"/>
  <c r="I2" i="2"/>
  <c r="K2" i="2"/>
  <c r="L2" i="2"/>
  <c r="G2" i="2"/>
  <c r="D2" i="2"/>
  <c r="M2" i="2"/>
  <c r="E2" i="2"/>
  <c r="F3" i="2"/>
  <c r="G3" i="2"/>
  <c r="H3" i="2"/>
  <c r="K3" i="2"/>
  <c r="M3" i="2"/>
  <c r="L3" i="2"/>
  <c r="I3" i="2"/>
  <c r="E3" i="2"/>
  <c r="J3" i="2"/>
  <c r="D3" i="2"/>
  <c r="E17" i="2"/>
  <c r="E25" i="2"/>
  <c r="E24" i="2"/>
  <c r="E29" i="2"/>
  <c r="E26" i="2"/>
  <c r="E37" i="2"/>
  <c r="E30" i="2"/>
  <c r="E27" i="2"/>
  <c r="E15" i="2"/>
  <c r="E31" i="2"/>
  <c r="E6" i="2"/>
  <c r="E18" i="2"/>
  <c r="E32" i="2"/>
  <c r="E38" i="2"/>
  <c r="E39" i="2"/>
  <c r="E10" i="2"/>
  <c r="E28" i="2"/>
  <c r="E22" i="2"/>
  <c r="E11" i="2"/>
  <c r="E35" i="2"/>
  <c r="E19" i="2"/>
  <c r="E16" i="2"/>
  <c r="E7" i="2"/>
  <c r="E36" i="2"/>
  <c r="E20" i="2"/>
  <c r="E14" i="2"/>
  <c r="E8" i="2"/>
  <c r="E21" i="2"/>
  <c r="E33" i="2"/>
  <c r="E34" i="2"/>
  <c r="E23" i="2"/>
  <c r="E12" i="2"/>
  <c r="E9" i="2"/>
  <c r="E13" i="2"/>
  <c r="E5" i="2"/>
  <c r="D29" i="2"/>
  <c r="D35" i="2"/>
  <c r="D12" i="2"/>
  <c r="D18" i="2"/>
  <c r="D24" i="2"/>
  <c r="D36" i="2"/>
  <c r="D30" i="2"/>
  <c r="D25" i="2"/>
  <c r="D37" i="2"/>
  <c r="D7" i="2"/>
  <c r="D14" i="2"/>
  <c r="D26" i="2"/>
  <c r="D19" i="2"/>
  <c r="D39" i="2"/>
  <c r="D31" i="2"/>
  <c r="D34" i="2"/>
  <c r="D16" i="2"/>
  <c r="D15" i="2"/>
  <c r="D6" i="2"/>
  <c r="D20" i="2"/>
  <c r="D21" i="2"/>
  <c r="D10" i="2"/>
  <c r="D11" i="2"/>
  <c r="D38" i="2"/>
  <c r="D27" i="2"/>
  <c r="D8" i="2"/>
  <c r="D32" i="2"/>
  <c r="D28" i="2"/>
  <c r="D9" i="2"/>
  <c r="D13" i="2"/>
  <c r="D33" i="2"/>
  <c r="D22" i="2"/>
  <c r="D23" i="2"/>
  <c r="D5" i="2"/>
  <c r="D17" i="2"/>
  <c r="G8" i="1"/>
  <c r="G7" i="1"/>
  <c r="G3" i="1" l="1"/>
  <c r="C8" i="1"/>
  <c r="C7" i="1"/>
  <c r="C4" i="1"/>
  <c r="C5" i="1"/>
  <c r="C9" i="1"/>
  <c r="C6" i="1"/>
  <c r="D8" i="1"/>
  <c r="D7" i="1"/>
  <c r="D4" i="1"/>
  <c r="D5" i="1"/>
  <c r="D9" i="1"/>
  <c r="D6" i="1"/>
  <c r="E6" i="1" l="1"/>
  <c r="E9" i="1"/>
  <c r="E5" i="1"/>
  <c r="E4" i="1"/>
  <c r="E7" i="1"/>
  <c r="E8" i="1"/>
  <c r="C2" i="1"/>
  <c r="C3" i="1"/>
  <c r="M8" i="4" a="1"/>
  <c r="D2" i="1"/>
  <c r="D3" i="1"/>
  <c r="E3" i="1" l="1"/>
  <c r="E2" i="1"/>
  <c r="M8" i="4"/>
  <c r="N8" i="4"/>
  <c r="M9" i="4"/>
  <c r="N9" i="4"/>
</calcChain>
</file>

<file path=xl/sharedStrings.xml><?xml version="1.0" encoding="utf-8"?>
<sst xmlns="http://schemas.openxmlformats.org/spreadsheetml/2006/main" count="361" uniqueCount="282">
  <si>
    <t>AAA</t>
  </si>
  <si>
    <t>BBB</t>
  </si>
  <si>
    <t>DDD</t>
  </si>
  <si>
    <t>CCC</t>
  </si>
  <si>
    <t>Sort</t>
  </si>
  <si>
    <t>NoCheckSize</t>
  </si>
  <si>
    <t>Transpose</t>
  </si>
  <si>
    <t>Ensure2d</t>
  </si>
  <si>
    <t>zzz</t>
  </si>
  <si>
    <t>aaa</t>
  </si>
  <si>
    <t>ZZZ</t>
  </si>
  <si>
    <t>dvBool</t>
  </si>
  <si>
    <t>ErrorsFirst</t>
  </si>
  <si>
    <t>A @Character 123 Group Example?</t>
  </si>
  <si>
    <t>\w</t>
  </si>
  <si>
    <t>^</t>
  </si>
  <si>
    <t>\W</t>
  </si>
  <si>
    <t>\s</t>
  </si>
  <si>
    <t>\d</t>
  </si>
  <si>
    <t>\D</t>
  </si>
  <si>
    <t>[A-Za]</t>
  </si>
  <si>
    <t>\b[A-z]+</t>
  </si>
  <si>
    <t>X</t>
  </si>
  <si>
    <t>.*(C[A-z]+).*</t>
  </si>
  <si>
    <t>$1</t>
  </si>
  <si>
    <t>A</t>
  </si>
  <si>
    <t>(?i)A</t>
  </si>
  <si>
    <t>A12B a12B A12b a12b</t>
  </si>
  <si>
    <t>[A-Z]\d{2}(?i:[A-Z])</t>
  </si>
  <si>
    <t>@</t>
  </si>
  <si>
    <t>D</t>
  </si>
  <si>
    <t>Use</t>
  </si>
  <si>
    <t>To match any character</t>
  </si>
  <si>
    <t>[set]</t>
  </si>
  <si>
    <t>In that set</t>
  </si>
  <si>
    <t>[^set]</t>
  </si>
  <si>
    <t>Not in that set</t>
  </si>
  <si>
    <t>[a-z]</t>
  </si>
  <si>
    <t>In the a-z range</t>
  </si>
  <si>
    <t>[^a-z]</t>
  </si>
  <si>
    <t>Not in the a-z range</t>
  </si>
  <si>
    <t>.</t>
  </si>
  <si>
    <t>Any except \n (new line)</t>
  </si>
  <si>
    <t>\char</t>
  </si>
  <si>
    <t>Escaped special character</t>
  </si>
  <si>
    <t>SINGLE CHARACTERS</t>
  </si>
  <si>
    <t>To match character</t>
  </si>
  <si>
    <t>In that Unicode category or block</t>
  </si>
  <si>
    <t>Not in that Unicode category or block</t>
  </si>
  <si>
    <t>Word character</t>
  </si>
  <si>
    <t>Non-word character</t>
  </si>
  <si>
    <t>Decimal digit</t>
  </si>
  <si>
    <t>Not a decimal digit</t>
  </si>
  <si>
    <t>White-space character</t>
  </si>
  <si>
    <t>\S</t>
  </si>
  <si>
    <t>Non-white-space char</t>
  </si>
  <si>
    <t>CHARACTER CLASSES</t>
  </si>
  <si>
    <t>Greedy</t>
  </si>
  <si>
    <t>Lazy</t>
  </si>
  <si>
    <t>Matches</t>
  </si>
  <si>
    <t>*</t>
  </si>
  <si>
    <t>*?</t>
  </si>
  <si>
    <t>0 or more times</t>
  </si>
  <si>
    <t>+</t>
  </si>
  <si>
    <t>+?</t>
  </si>
  <si>
    <t>1 or more times</t>
  </si>
  <si>
    <t>?</t>
  </si>
  <si>
    <t>??</t>
  </si>
  <si>
    <t>0 or 1 time</t>
  </si>
  <si>
    <t>{n}</t>
  </si>
  <si>
    <t>{n}?</t>
  </si>
  <si>
    <t>Exactly n times</t>
  </si>
  <si>
    <t>{n,}</t>
  </si>
  <si>
    <t>{n,}?</t>
  </si>
  <si>
    <t>At least n times</t>
  </si>
  <si>
    <t>{n,m}</t>
  </si>
  <si>
    <t>{n,m}?</t>
  </si>
  <si>
    <t>From n to m times</t>
  </si>
  <si>
    <t>QUANTIFIERS</t>
  </si>
  <si>
    <t>To specify position</t>
  </si>
  <si>
    <t>At start of string or line</t>
  </si>
  <si>
    <t>\A</t>
  </si>
  <si>
    <t>At start of string</t>
  </si>
  <si>
    <t>\z</t>
  </si>
  <si>
    <t>At end of string</t>
  </si>
  <si>
    <t>\Z</t>
  </si>
  <si>
    <t>At end (or before \n at end) of string</t>
  </si>
  <si>
    <t>$</t>
  </si>
  <si>
    <t>At end (or before \n at end) of string or line</t>
  </si>
  <si>
    <t>\G</t>
  </si>
  <si>
    <t>Where previous match ended</t>
  </si>
  <si>
    <t>\b</t>
  </si>
  <si>
    <t>On word boundary</t>
  </si>
  <si>
    <t>\B</t>
  </si>
  <si>
    <t>Not on word boundary</t>
  </si>
  <si>
    <t>ANCHORS</t>
  </si>
  <si>
    <t>To match</t>
  </si>
  <si>
    <t>\n</t>
  </si>
  <si>
    <t>Indexed group</t>
  </si>
  <si>
    <t>Named group</t>
  </si>
  <si>
    <t>BACKREFERENCES</t>
  </si>
  <si>
    <t>Either a or b</t>
  </si>
  <si>
    <t xml:space="preserve">Use </t>
  </si>
  <si>
    <t>To substitute</t>
  </si>
  <si>
    <t>$n</t>
  </si>
  <si>
    <t>Substring matched by group number n</t>
  </si>
  <si>
    <t>${name}</t>
  </si>
  <si>
    <t>Substring matched by group name</t>
  </si>
  <si>
    <t>$$</t>
  </si>
  <si>
    <t>Literal $ character</t>
  </si>
  <si>
    <t>$&amp;</t>
  </si>
  <si>
    <t>Copy of whole match</t>
  </si>
  <si>
    <t>$`</t>
  </si>
  <si>
    <t>Text before the match</t>
  </si>
  <si>
    <t>$'</t>
  </si>
  <si>
    <t>Text after the match</t>
  </si>
  <si>
    <t>$+</t>
  </si>
  <si>
    <t>Last captured group</t>
  </si>
  <si>
    <t>$_</t>
  </si>
  <si>
    <t>Entire input string</t>
  </si>
  <si>
    <t>Category</t>
  </si>
  <si>
    <t>Description</t>
  </si>
  <si>
    <t>Lu</t>
  </si>
  <si>
    <t>Letter, uppercase</t>
  </si>
  <si>
    <t>LI</t>
  </si>
  <si>
    <t xml:space="preserve">Letter, lowercase </t>
  </si>
  <si>
    <t>Lt</t>
  </si>
  <si>
    <t xml:space="preserve">Letter, title case </t>
  </si>
  <si>
    <t>Lm</t>
  </si>
  <si>
    <t>Letter, modifier</t>
  </si>
  <si>
    <t>Lo</t>
  </si>
  <si>
    <t>Letter, other</t>
  </si>
  <si>
    <t>L</t>
  </si>
  <si>
    <t xml:space="preserve">Letter, all </t>
  </si>
  <si>
    <t>Mn</t>
  </si>
  <si>
    <t>Mark, nonspacing combining</t>
  </si>
  <si>
    <t>Mark, spacing combining</t>
  </si>
  <si>
    <t>Me</t>
  </si>
  <si>
    <t>Mark, enclosing combining</t>
  </si>
  <si>
    <t xml:space="preserve">Mark, all diacritic </t>
  </si>
  <si>
    <t>Nd</t>
  </si>
  <si>
    <t>Number, decimal digit</t>
  </si>
  <si>
    <t xml:space="preserve">Number, letterlike </t>
  </si>
  <si>
    <t>No</t>
  </si>
  <si>
    <t>Number, other</t>
  </si>
  <si>
    <t>Number, all</t>
  </si>
  <si>
    <t>Pc</t>
  </si>
  <si>
    <t>Punctuation, connector</t>
  </si>
  <si>
    <t>Punctuation, dash</t>
  </si>
  <si>
    <t>Ps</t>
  </si>
  <si>
    <t>Punctuation, opening mark</t>
  </si>
  <si>
    <t>Punctuation, closing mark</t>
  </si>
  <si>
    <t>Punctuation, initial quote mark</t>
  </si>
  <si>
    <t>Pf</t>
  </si>
  <si>
    <t xml:space="preserve">Puntuation, final quote mark </t>
  </si>
  <si>
    <t>Po</t>
  </si>
  <si>
    <t>Punctuation, other</t>
  </si>
  <si>
    <t>P</t>
  </si>
  <si>
    <t>Punctuation, all</t>
  </si>
  <si>
    <t>Sm</t>
  </si>
  <si>
    <t>Symbol, math</t>
  </si>
  <si>
    <t>Sc</t>
  </si>
  <si>
    <t>Symbol, currency</t>
  </si>
  <si>
    <t>Sk</t>
  </si>
  <si>
    <t>Symbol, modifier</t>
  </si>
  <si>
    <t>So</t>
  </si>
  <si>
    <t>Symbol, other</t>
  </si>
  <si>
    <t>S</t>
  </si>
  <si>
    <t>Symbol, all</t>
  </si>
  <si>
    <t>Zs</t>
  </si>
  <si>
    <t>Separator, space</t>
  </si>
  <si>
    <t>Zl</t>
  </si>
  <si>
    <t>Separator, line</t>
  </si>
  <si>
    <t>Zp</t>
  </si>
  <si>
    <t>Separator, paragraph</t>
  </si>
  <si>
    <t>Z</t>
  </si>
  <si>
    <t>Separator, all</t>
  </si>
  <si>
    <t>Cc</t>
  </si>
  <si>
    <t>Control code</t>
  </si>
  <si>
    <t>Cf</t>
  </si>
  <si>
    <t>Format control character</t>
  </si>
  <si>
    <t>Cs</t>
  </si>
  <si>
    <t>Surrogate code point</t>
  </si>
  <si>
    <t>Co</t>
  </si>
  <si>
    <t>Private-use character</t>
  </si>
  <si>
    <t>Cn</t>
  </si>
  <si>
    <t>Unassigned</t>
  </si>
  <si>
    <t>C</t>
  </si>
  <si>
    <t>Control characters, all</t>
  </si>
  <si>
    <t>Unicode</t>
  </si>
  <si>
    <t>\t</t>
  </si>
  <si>
    <t>Horizontal tab</t>
  </si>
  <si>
    <t>\u0009</t>
  </si>
  <si>
    <t>\v</t>
  </si>
  <si>
    <t>Vertical tab</t>
  </si>
  <si>
    <t>\u000B</t>
  </si>
  <si>
    <t>Backspace</t>
  </si>
  <si>
    <t>\u0008</t>
  </si>
  <si>
    <t>\e</t>
  </si>
  <si>
    <t>Escape</t>
  </si>
  <si>
    <t>\u001B</t>
  </si>
  <si>
    <t>\r</t>
  </si>
  <si>
    <t>Carriage return</t>
  </si>
  <si>
    <t>\u000D</t>
  </si>
  <si>
    <t>\f</t>
  </si>
  <si>
    <t>Form feed</t>
  </si>
  <si>
    <t>\u000C</t>
  </si>
  <si>
    <t>New line</t>
  </si>
  <si>
    <t>\u000A</t>
  </si>
  <si>
    <t>\a</t>
  </si>
  <si>
    <t>Bell (alarm)</t>
  </si>
  <si>
    <t>\u0007</t>
  </si>
  <si>
    <t>\c char</t>
  </si>
  <si>
    <t>ASCII control character</t>
  </si>
  <si>
    <t xml:space="preserve"> </t>
  </si>
  <si>
    <t>To match  character with</t>
  </si>
  <si>
    <t>\octal</t>
  </si>
  <si>
    <t>2-3 digit octal character code</t>
  </si>
  <si>
    <t>\x hex</t>
  </si>
  <si>
    <t>2-digit hex character code</t>
  </si>
  <si>
    <t>\u hex</t>
  </si>
  <si>
    <t>4-digit hex character code</t>
  </si>
  <si>
    <t>CONTROL CHARACTERS</t>
  </si>
  <si>
    <t>NON-ASCII CODES</t>
  </si>
  <si>
    <t>GROUPS</t>
  </si>
  <si>
    <t>INLINE OPTIONS</t>
  </si>
  <si>
    <t>ALTERNATION</t>
  </si>
  <si>
    <t>SUBSTITUTION</t>
  </si>
  <si>
    <t>SUPPORTED UNICODE CATEGORIES</t>
  </si>
  <si>
    <t>To define</t>
  </si>
  <si>
    <t>(exp)</t>
  </si>
  <si>
    <t xml:space="preserve">Balancing group </t>
  </si>
  <si>
    <t>(?:exp)</t>
  </si>
  <si>
    <t>Noncapturing group</t>
  </si>
  <si>
    <t>(?=exp)</t>
  </si>
  <si>
    <t>Zero-width positive lookahead</t>
  </si>
  <si>
    <t>(?!exp)</t>
  </si>
  <si>
    <t>Zero-width negative lookahead</t>
  </si>
  <si>
    <t>(?&lt;=exp)</t>
  </si>
  <si>
    <t>Zero-width positive lookbehind</t>
  </si>
  <si>
    <t>(?&lt;!exp)</t>
  </si>
  <si>
    <t>Zero-width negative lookbehind</t>
  </si>
  <si>
    <t>(?&gt;exp)</t>
  </si>
  <si>
    <t>Non-backtracking (greedy)</t>
  </si>
  <si>
    <t>Option</t>
  </si>
  <si>
    <t>Effect on match</t>
  </si>
  <si>
    <t>i</t>
  </si>
  <si>
    <t>Case-insensitive</t>
  </si>
  <si>
    <t>m</t>
  </si>
  <si>
    <t>Multiline mode</t>
  </si>
  <si>
    <t>n</t>
  </si>
  <si>
    <t>Explicit (named)</t>
  </si>
  <si>
    <t>s</t>
  </si>
  <si>
    <t>Single-line mode</t>
  </si>
  <si>
    <t>x</t>
  </si>
  <si>
    <t>Ignore white space</t>
  </si>
  <si>
    <t>To</t>
  </si>
  <si>
    <t>(?imnsx-imnsx)</t>
  </si>
  <si>
    <t>Set or disable the specified options</t>
  </si>
  <si>
    <t>(?imnsx-imnsx:exp)</t>
  </si>
  <si>
    <t>Set or disable the specified options within the expression</t>
  </si>
  <si>
    <t>(?(exp) yes | no)</t>
  </si>
  <si>
    <t>a | b</t>
  </si>
  <si>
    <t>yes if exp is matched no if exp isn't matched</t>
  </si>
  <si>
    <t>(?(name) yes | no)</t>
  </si>
  <si>
    <t>yes if name is matched no if name isn't matched</t>
  </si>
  <si>
    <t>(?&lt;nm&gt;exp)</t>
  </si>
  <si>
    <t>(?&lt;n1-n2&gt;exp)</t>
  </si>
  <si>
    <t>\p{cat}</t>
  </si>
  <si>
    <t>\P{cat}</t>
  </si>
  <si>
    <t>\k&lt;nm&gt;</t>
  </si>
  <si>
    <t>Mc</t>
  </si>
  <si>
    <t>M</t>
  </si>
  <si>
    <t>Nl</t>
  </si>
  <si>
    <t>N</t>
  </si>
  <si>
    <t>Pd</t>
  </si>
  <si>
    <t>Pe</t>
  </si>
  <si>
    <t>Pi</t>
  </si>
  <si>
    <t>Delimiters</t>
  </si>
  <si>
    <t>|!</t>
  </si>
  <si>
    <t>ar.*k</t>
  </si>
  <si>
    <t>IgnoreCase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</si>
</sst>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8"/>
      <color theme="1"/>
      <name val="Arial"/>
      <family val="2"/>
    </font>
    <font>
      <b/>
      <sz val="8"/>
      <color theme="0"/>
      <name val="Arial"/>
      <family val="2"/>
    </font>
    <font>
      <i/>
      <sz val="8"/>
      <color theme="1"/>
      <name val="Arial"/>
      <family val="2"/>
    </font>
    <font>
      <b/>
      <sz val="8"/>
      <color theme="1"/>
      <name val="Arial"/>
      <family val="2"/>
    </font>
    <font>
      <u/>
      <sz val="8"/>
      <color theme="10"/>
      <name val="Arial"/>
      <family val="2"/>
    </font>
    <font>
      <sz val="8"/>
      <color theme="1"/>
      <name val="Courier New"/>
      <family val="3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0" fontId="1" fillId="3" borderId="1" xfId="0" applyFont="1" applyFill="1" applyBorder="1" applyAlignment="1">
      <alignment horizontal="center"/>
    </xf>
    <xf numFmtId="0" fontId="0" fillId="0" borderId="1" xfId="0" applyFont="1" applyBorder="1"/>
    <xf numFmtId="0" fontId="0" fillId="0" borderId="2" xfId="0" applyFont="1" applyBorder="1"/>
    <xf numFmtId="0" fontId="0" fillId="4" borderId="0" xfId="0" applyFill="1" applyAlignment="1">
      <alignment horizont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/>
    <xf numFmtId="0" fontId="4" fillId="0" borderId="0" xfId="1"/>
    <xf numFmtId="0" fontId="0" fillId="11" borderId="3" xfId="0" applyFill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13" xfId="0" applyBorder="1"/>
    <xf numFmtId="0" fontId="5" fillId="0" borderId="7" xfId="0" applyFont="1" applyBorder="1"/>
    <xf numFmtId="0" fontId="5" fillId="0" borderId="10" xfId="0" applyFont="1" applyBorder="1"/>
    <xf numFmtId="0" fontId="5" fillId="0" borderId="13" xfId="0" applyFont="1" applyBorder="1"/>
    <xf numFmtId="0" fontId="0" fillId="4" borderId="0" xfId="0" applyFill="1" applyAlignment="1"/>
    <xf numFmtId="0" fontId="3" fillId="11" borderId="4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3" fillId="11" borderId="5" xfId="0" applyFont="1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0" fontId="0" fillId="0" borderId="8" xfId="0" applyBorder="1" applyAlignment="1"/>
    <xf numFmtId="0" fontId="0" fillId="0" borderId="9" xfId="0" applyBorder="1" applyAlignment="1"/>
    <xf numFmtId="0" fontId="0" fillId="0" borderId="0" xfId="0" applyFill="1"/>
    <xf numFmtId="0" fontId="0" fillId="5" borderId="0" xfId="0" applyFill="1" applyAlignment="1"/>
    <xf numFmtId="0" fontId="0" fillId="12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olorful">
      <a:dk1>
        <a:srgbClr val="000000"/>
      </a:dk1>
      <a:lt1>
        <a:srgbClr val="FFFFFF"/>
      </a:lt1>
      <a:dk2>
        <a:srgbClr val="FF7700"/>
      </a:dk2>
      <a:lt2>
        <a:srgbClr val="D70000"/>
      </a:lt2>
      <a:accent1>
        <a:srgbClr val="FFE707"/>
      </a:accent1>
      <a:accent2>
        <a:srgbClr val="9FCF2B"/>
      </a:accent2>
      <a:accent3>
        <a:srgbClr val="4FA737"/>
      </a:accent3>
      <a:accent4>
        <a:srgbClr val="57C7EF"/>
      </a:accent4>
      <a:accent5>
        <a:srgbClr val="0067D7"/>
      </a:accent5>
      <a:accent6>
        <a:srgbClr val="8F009F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M42"/>
  <sheetViews>
    <sheetView tabSelected="1" workbookViewId="0">
      <selection activeCell="B2" sqref="B2"/>
    </sheetView>
  </sheetViews>
  <sheetFormatPr defaultRowHeight="10" x14ac:dyDescent="0.2"/>
  <cols>
    <col min="1" max="1" width="3.77734375" customWidth="1"/>
    <col min="2" max="2" width="10.77734375" customWidth="1"/>
    <col min="3" max="3" width="3.77734375" customWidth="1"/>
    <col min="4" max="5" width="10.77734375" customWidth="1"/>
    <col min="6" max="6" width="3.77734375" customWidth="1"/>
    <col min="7" max="8" width="10.77734375" customWidth="1"/>
  </cols>
  <sheetData>
    <row r="2" spans="2:13" x14ac:dyDescent="0.2">
      <c r="B2" s="11"/>
      <c r="D2" s="9" t="str">
        <f t="array" ref="D2:M2">_xll.Unique(B2:B12,H5,H6,H7,H8,H9)</f>
        <v>#ROWS{10}</v>
      </c>
      <c r="E2" s="9" t="str">
        <v>#ROWS{10}</v>
      </c>
      <c r="F2" s="9" t="str">
        <v>#ROWS{10}</v>
      </c>
      <c r="G2" s="9" t="str">
        <v>#ROWS{10}</v>
      </c>
      <c r="H2" s="9" t="str">
        <v>#ROWS{10}</v>
      </c>
      <c r="I2" s="9" t="str">
        <v>#ROWS{10}</v>
      </c>
      <c r="J2" s="9" t="str">
        <v>#ROWS{10}</v>
      </c>
      <c r="K2" s="9" t="str">
        <v>#ROWS{10}</v>
      </c>
      <c r="L2" s="9" t="str">
        <v>#ROWS{10}</v>
      </c>
      <c r="M2" s="9" t="str">
        <v>#ROWS{10}</v>
      </c>
    </row>
    <row r="3" spans="2:13" x14ac:dyDescent="0.2">
      <c r="B3" s="7" t="s">
        <v>1</v>
      </c>
      <c r="D3" s="15" t="str">
        <f t="array" ref="D3:M3">_xll.NotUnique(B2:B42,H5,H6,H7,H8,H9)</f>
        <v>#ROWS{10}</v>
      </c>
      <c r="E3" s="15" t="str">
        <v>#ROWS{10}</v>
      </c>
      <c r="F3" s="15" t="str">
        <v>#ROWS{10}</v>
      </c>
      <c r="G3" s="15" t="str">
        <v>#ROWS{10}</v>
      </c>
      <c r="H3" s="15" t="str">
        <v>#ROWS{10}</v>
      </c>
      <c r="I3" s="15" t="str">
        <v>#ROWS{10}</v>
      </c>
      <c r="J3" s="15" t="str">
        <v>#ROWS{10}</v>
      </c>
      <c r="K3" s="15" t="str">
        <v>#ROWS{10}</v>
      </c>
      <c r="L3" s="15" t="str">
        <v>#ROWS{10}</v>
      </c>
      <c r="M3" s="15" t="str">
        <v>#ROWS{10}</v>
      </c>
    </row>
    <row r="4" spans="2:13" x14ac:dyDescent="0.2">
      <c r="B4" s="7">
        <v>96.855999999999995</v>
      </c>
    </row>
    <row r="5" spans="2:13" x14ac:dyDescent="0.2">
      <c r="B5" s="7" t="s">
        <v>8</v>
      </c>
      <c r="D5" s="9" t="str">
        <f t="array" ref="D5:D39">_xll.Unique(B2:B42,H5,H6,H7,H8,H9)</f>
        <v>&lt;ExcelEmpty&gt;</v>
      </c>
      <c r="E5" s="15" t="str">
        <f t="array" ref="E5:E39">_xll.NotUnique(B2:B42,H5,H6,H7,H8,H9)</f>
        <v>BBB</v>
      </c>
      <c r="G5" s="3" t="s">
        <v>4</v>
      </c>
      <c r="H5" s="7"/>
      <c r="J5" s="7" t="s">
        <v>25</v>
      </c>
      <c r="K5" s="7" t="s">
        <v>30</v>
      </c>
    </row>
    <row r="6" spans="2:13" x14ac:dyDescent="0.2">
      <c r="B6" s="7" t="s">
        <v>10</v>
      </c>
      <c r="D6" s="9" t="str">
        <v>BBB</v>
      </c>
      <c r="E6" s="15" t="e">
        <v>#NAME?</v>
      </c>
      <c r="G6" s="3" t="s">
        <v>12</v>
      </c>
      <c r="H6" s="7"/>
    </row>
    <row r="7" spans="2:13" x14ac:dyDescent="0.2">
      <c r="B7" s="7">
        <v>2</v>
      </c>
      <c r="D7" s="9">
        <v>96.855999999999995</v>
      </c>
      <c r="E7" s="15" t="str">
        <v>DDD</v>
      </c>
      <c r="G7" s="3" t="s">
        <v>5</v>
      </c>
      <c r="H7" s="7"/>
    </row>
    <row r="8" spans="2:13" x14ac:dyDescent="0.2">
      <c r="B8" s="7" t="s">
        <v>2</v>
      </c>
      <c r="D8" s="9" t="str">
        <v>zzz</v>
      </c>
      <c r="E8" s="15">
        <v>2</v>
      </c>
      <c r="G8" s="3" t="s">
        <v>6</v>
      </c>
      <c r="H8" s="7"/>
    </row>
    <row r="9" spans="2:13" x14ac:dyDescent="0.2">
      <c r="B9" s="7" t="e">
        <v>#NAME?</v>
      </c>
      <c r="D9" s="9" t="str">
        <v>ZZZ</v>
      </c>
      <c r="E9" s="15" t="b">
        <v>1</v>
      </c>
      <c r="G9" s="3" t="s">
        <v>7</v>
      </c>
      <c r="H9" s="7"/>
    </row>
    <row r="10" spans="2:13" x14ac:dyDescent="0.2">
      <c r="B10" s="10" t="str">
        <f>""</f>
        <v/>
      </c>
      <c r="D10" s="9">
        <v>2</v>
      </c>
      <c r="E10" s="15" t="e">
        <v>#N/A</v>
      </c>
    </row>
    <row r="11" spans="2:13" x14ac:dyDescent="0.2">
      <c r="B11" s="7" t="e">
        <v>#VALUE!</v>
      </c>
      <c r="D11" s="9" t="str">
        <v>DDD</v>
      </c>
      <c r="E11" s="15" t="str">
        <v>AAA</v>
      </c>
    </row>
    <row r="12" spans="2:13" x14ac:dyDescent="0.2">
      <c r="B12" s="7" t="s">
        <v>1</v>
      </c>
      <c r="D12" s="9" t="e">
        <v>#NAME?</v>
      </c>
      <c r="E12" s="15" t="e">
        <v>#VALUE!</v>
      </c>
      <c r="G12" s="9" t="str">
        <f t="array" ref="G12:H14">_xll.Unique("AAA",H5,H6,H7,H8,H9)</f>
        <v>AAA</v>
      </c>
      <c r="H12" s="9" t="str">
        <v>AAA</v>
      </c>
    </row>
    <row r="13" spans="2:13" x14ac:dyDescent="0.2">
      <c r="B13" s="7" t="b">
        <v>1</v>
      </c>
      <c r="D13" s="9" t="str">
        <v/>
      </c>
      <c r="E13" s="15" t="b">
        <v>0</v>
      </c>
      <c r="G13" s="9" t="str">
        <v>AAA</v>
      </c>
      <c r="H13" s="9" t="str">
        <v>AAA</v>
      </c>
    </row>
    <row r="14" spans="2:13" x14ac:dyDescent="0.2">
      <c r="B14" s="7">
        <v>3</v>
      </c>
      <c r="D14" s="9" t="e">
        <v>#VALUE!</v>
      </c>
      <c r="E14" s="15">
        <v>1</v>
      </c>
      <c r="G14" s="9" t="str">
        <v>AAA</v>
      </c>
      <c r="H14" s="9" t="str">
        <v>AAA</v>
      </c>
    </row>
    <row r="15" spans="2:13" x14ac:dyDescent="0.2">
      <c r="B15" s="7" t="e">
        <v>#NUM!</v>
      </c>
      <c r="D15" s="9" t="b">
        <v>1</v>
      </c>
      <c r="E15" s="15" t="e">
        <v>#N/A</v>
      </c>
    </row>
    <row r="16" spans="2:13" x14ac:dyDescent="0.2">
      <c r="B16" s="7" t="e">
        <v>#NAME?</v>
      </c>
      <c r="D16" s="9">
        <v>3</v>
      </c>
      <c r="E16" s="15" t="e">
        <v>#N/A</v>
      </c>
    </row>
    <row r="17" spans="2:8" x14ac:dyDescent="0.2">
      <c r="B17" s="7" t="s">
        <v>0</v>
      </c>
      <c r="D17" s="9" t="e">
        <v>#NUM!</v>
      </c>
      <c r="E17" s="15" t="e">
        <v>#N/A</v>
      </c>
      <c r="G17" s="15" t="str">
        <f t="array" ref="G17:H19">_xll.NotUnique({"AAA","AAA"},H5,H6,H7,H8,H9)</f>
        <v>AAA</v>
      </c>
      <c r="H17" s="15" t="str">
        <v>AAA</v>
      </c>
    </row>
    <row r="18" spans="2:8" x14ac:dyDescent="0.2">
      <c r="B18" s="7" t="s">
        <v>3</v>
      </c>
      <c r="D18" s="9" t="str">
        <v>AAA</v>
      </c>
      <c r="E18" s="15" t="e">
        <v>#N/A</v>
      </c>
      <c r="G18" s="15" t="str">
        <v>AAA</v>
      </c>
      <c r="H18" s="15" t="str">
        <v>AAA</v>
      </c>
    </row>
    <row r="19" spans="2:8" x14ac:dyDescent="0.2">
      <c r="B19" s="7" t="e">
        <v>#DIV/0!</v>
      </c>
      <c r="D19" s="9" t="str">
        <v>CCC</v>
      </c>
      <c r="E19" s="15" t="e">
        <v>#N/A</v>
      </c>
      <c r="G19" s="15" t="str">
        <v>AAA</v>
      </c>
      <c r="H19" s="15" t="str">
        <v>AAA</v>
      </c>
    </row>
    <row r="20" spans="2:8" x14ac:dyDescent="0.2">
      <c r="B20" s="7" t="s">
        <v>2</v>
      </c>
      <c r="D20" s="9" t="e">
        <v>#DIV/0!</v>
      </c>
      <c r="E20" s="15" t="e">
        <v>#N/A</v>
      </c>
    </row>
    <row r="21" spans="2:8" x14ac:dyDescent="0.2">
      <c r="B21" s="7">
        <v>30.26</v>
      </c>
      <c r="D21" s="9">
        <v>30.26</v>
      </c>
      <c r="E21" s="15" t="e">
        <v>#N/A</v>
      </c>
    </row>
    <row r="22" spans="2:8" x14ac:dyDescent="0.2">
      <c r="B22" s="8" t="e">
        <v>#NULL!</v>
      </c>
      <c r="D22" s="9" t="e">
        <v>#NULL!</v>
      </c>
      <c r="E22" s="15" t="e">
        <v>#N/A</v>
      </c>
    </row>
    <row r="23" spans="2:8" x14ac:dyDescent="0.2">
      <c r="B23" s="7">
        <v>2</v>
      </c>
      <c r="D23" s="9" t="b">
        <v>0</v>
      </c>
      <c r="E23" s="15" t="e">
        <v>#N/A</v>
      </c>
    </row>
    <row r="24" spans="2:8" x14ac:dyDescent="0.2">
      <c r="B24" s="7" t="b">
        <v>0</v>
      </c>
      <c r="D24" s="9" t="str">
        <v>aaa</v>
      </c>
      <c r="E24" s="15" t="e">
        <v>#N/A</v>
      </c>
    </row>
    <row r="25" spans="2:8" x14ac:dyDescent="0.2">
      <c r="B25" s="7" t="s">
        <v>9</v>
      </c>
      <c r="D25" s="9">
        <v>88.088999999999999</v>
      </c>
      <c r="E25" s="15" t="e">
        <v>#N/A</v>
      </c>
    </row>
    <row r="26" spans="2:8" x14ac:dyDescent="0.2">
      <c r="B26" s="7">
        <v>88.088999999999999</v>
      </c>
      <c r="D26" s="9">
        <v>2.827</v>
      </c>
      <c r="E26" s="15" t="e">
        <v>#N/A</v>
      </c>
    </row>
    <row r="27" spans="2:8" x14ac:dyDescent="0.2">
      <c r="B27" s="7">
        <v>2.827</v>
      </c>
      <c r="D27" s="9" t="e">
        <v>#REF!</v>
      </c>
      <c r="E27" s="15" t="e">
        <v>#N/A</v>
      </c>
    </row>
    <row r="28" spans="2:8" x14ac:dyDescent="0.2">
      <c r="B28" s="8" t="e">
        <v>#REF!</v>
      </c>
      <c r="D28" s="9">
        <v>22.276</v>
      </c>
      <c r="E28" s="15" t="e">
        <v>#N/A</v>
      </c>
    </row>
    <row r="29" spans="2:8" x14ac:dyDescent="0.2">
      <c r="B29" s="7" t="b">
        <v>1</v>
      </c>
      <c r="D29" s="9" t="e">
        <v>#N/A</v>
      </c>
      <c r="E29" s="15" t="e">
        <v>#N/A</v>
      </c>
    </row>
    <row r="30" spans="2:8" x14ac:dyDescent="0.2">
      <c r="B30" s="7">
        <v>22.276</v>
      </c>
      <c r="D30" s="9">
        <v>1</v>
      </c>
      <c r="E30" s="15" t="e">
        <v>#N/A</v>
      </c>
    </row>
    <row r="31" spans="2:8" x14ac:dyDescent="0.2">
      <c r="B31" s="7" t="e">
        <v>#N/A</v>
      </c>
      <c r="D31" s="9" t="e">
        <v>#N/A</v>
      </c>
      <c r="E31" s="15" t="e">
        <v>#N/A</v>
      </c>
    </row>
    <row r="32" spans="2:8" x14ac:dyDescent="0.2">
      <c r="B32" s="7" t="e">
        <v>#N/A</v>
      </c>
      <c r="D32" s="9" t="e">
        <v>#N/A</v>
      </c>
      <c r="E32" s="15" t="e">
        <v>#N/A</v>
      </c>
    </row>
    <row r="33" spans="2:5" x14ac:dyDescent="0.2">
      <c r="B33" s="7" t="e">
        <v>#NAME?</v>
      </c>
      <c r="D33" s="9" t="e">
        <v>#N/A</v>
      </c>
      <c r="E33" s="15" t="e">
        <v>#N/A</v>
      </c>
    </row>
    <row r="34" spans="2:5" x14ac:dyDescent="0.2">
      <c r="B34" s="7" t="b">
        <v>1</v>
      </c>
      <c r="D34" s="9" t="e">
        <v>#N/A</v>
      </c>
      <c r="E34" s="15" t="e">
        <v>#N/A</v>
      </c>
    </row>
    <row r="35" spans="2:5" x14ac:dyDescent="0.2">
      <c r="B35" s="7" t="s">
        <v>0</v>
      </c>
      <c r="D35" s="9" t="e">
        <v>#N/A</v>
      </c>
      <c r="E35" s="15" t="e">
        <v>#N/A</v>
      </c>
    </row>
    <row r="36" spans="2:5" x14ac:dyDescent="0.2">
      <c r="B36" s="7" t="e">
        <v>#VALUE!</v>
      </c>
      <c r="D36" s="9" t="e">
        <v>#N/A</v>
      </c>
      <c r="E36" s="15" t="e">
        <v>#N/A</v>
      </c>
    </row>
    <row r="37" spans="2:5" x14ac:dyDescent="0.2">
      <c r="B37" s="7" t="s">
        <v>1</v>
      </c>
      <c r="D37" s="9" t="e">
        <v>#N/A</v>
      </c>
      <c r="E37" s="15" t="e">
        <v>#N/A</v>
      </c>
    </row>
    <row r="38" spans="2:5" x14ac:dyDescent="0.2">
      <c r="B38" s="7" t="b">
        <v>0</v>
      </c>
      <c r="D38" s="9" t="e">
        <v>#N/A</v>
      </c>
      <c r="E38" s="15" t="e">
        <v>#N/A</v>
      </c>
    </row>
    <row r="39" spans="2:5" x14ac:dyDescent="0.2">
      <c r="B39" s="7" t="s">
        <v>1</v>
      </c>
      <c r="D39" s="9" t="e">
        <v>#N/A</v>
      </c>
      <c r="E39" s="15" t="e">
        <v>#N/A</v>
      </c>
    </row>
    <row r="40" spans="2:5" x14ac:dyDescent="0.2">
      <c r="B40" s="7">
        <v>1</v>
      </c>
    </row>
    <row r="41" spans="2:5" x14ac:dyDescent="0.2">
      <c r="B41" s="7" t="s">
        <v>2</v>
      </c>
    </row>
    <row r="42" spans="2:5" x14ac:dyDescent="0.2">
      <c r="B42" s="7">
        <v>1</v>
      </c>
    </row>
  </sheetData>
  <dataValidations count="2">
    <dataValidation type="list" allowBlank="1" showInputMessage="1" showErrorMessage="1" sqref="H6:H9" xr:uid="{00000000-0002-0000-0000-000000000000}">
      <formula1>dvBool</formula1>
    </dataValidation>
    <dataValidation type="list" allowBlank="1" showInputMessage="1" showErrorMessage="1" sqref="H5" xr:uid="{00000000-0002-0000-0000-000001000000}">
      <formula1>$J$5:$K$5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R43"/>
  <sheetViews>
    <sheetView workbookViewId="0">
      <selection activeCell="B2" sqref="B2"/>
    </sheetView>
  </sheetViews>
  <sheetFormatPr defaultRowHeight="10" x14ac:dyDescent="0.2"/>
  <cols>
    <col min="1" max="1" width="3.77734375" customWidth="1"/>
    <col min="2" max="4" width="10.77734375" customWidth="1"/>
    <col min="6" max="6" width="3.77734375" customWidth="1"/>
    <col min="10" max="10" width="3.77734375" customWidth="1"/>
    <col min="12" max="12" width="3.77734375" customWidth="1"/>
  </cols>
  <sheetData>
    <row r="2" spans="2:18" x14ac:dyDescent="0.2">
      <c r="B2" s="11"/>
      <c r="C2" s="7" t="str">
        <f t="shared" ref="C2:C42" si="0">B2&amp;"-a"</f>
        <v>-a</v>
      </c>
      <c r="D2" s="7" t="str">
        <f t="shared" ref="D2:D42" si="1">C2&amp;"-b"</f>
        <v>-a-b</v>
      </c>
      <c r="E2" t="b">
        <f>NOT(ISERROR(B2))</f>
        <v>1</v>
      </c>
      <c r="G2" s="9" t="str">
        <f t="array" ref="G2:R3">_xll.FilterRange(B2:C18,E2:E18,H8,H9,H10)</f>
        <v>#ROWS{12}</v>
      </c>
      <c r="H2" s="9" t="str">
        <v>#ROWS{12}</v>
      </c>
      <c r="I2" s="9" t="str">
        <v>#ROWS{12}</v>
      </c>
      <c r="J2" s="9" t="str">
        <v>#ROWS{12}</v>
      </c>
      <c r="K2" s="9" t="str">
        <v>#ROWS{12}</v>
      </c>
      <c r="L2" s="9" t="str">
        <v>#ROWS{12}</v>
      </c>
      <c r="M2" s="9" t="str">
        <v>#ROWS{12}</v>
      </c>
      <c r="N2" s="9" t="str">
        <v>#ROWS{12}</v>
      </c>
      <c r="O2" s="9" t="str">
        <v>#ROWS{12}</v>
      </c>
      <c r="P2" s="9" t="str">
        <v>#ROWS{12}</v>
      </c>
      <c r="Q2" s="9" t="str">
        <v>#ROWS{12}</v>
      </c>
      <c r="R2" s="9" t="str">
        <v>#ROWS{12}</v>
      </c>
    </row>
    <row r="3" spans="2:18" x14ac:dyDescent="0.2">
      <c r="B3" s="7" t="s">
        <v>1</v>
      </c>
      <c r="C3" s="7" t="str">
        <f t="shared" si="0"/>
        <v>BBB-a</v>
      </c>
      <c r="D3" s="7" t="str">
        <f t="shared" si="1"/>
        <v>BBB-a-b</v>
      </c>
      <c r="E3" s="14" t="b">
        <v>0</v>
      </c>
      <c r="G3" s="9" t="str">
        <v>#ROWS{12}</v>
      </c>
      <c r="H3" s="9" t="str">
        <v>#ROWS{12}</v>
      </c>
      <c r="I3" s="9" t="str">
        <v>#ROWS{12}</v>
      </c>
      <c r="J3" s="9" t="str">
        <v>#ROWS{12}</v>
      </c>
      <c r="K3" s="9" t="str">
        <v>#ROWS{12}</v>
      </c>
      <c r="L3" s="9" t="str">
        <v>#ROWS{12}</v>
      </c>
      <c r="M3" s="9" t="str">
        <v>#ROWS{12}</v>
      </c>
      <c r="N3" s="9" t="str">
        <v>#ROWS{12}</v>
      </c>
      <c r="O3" s="9" t="str">
        <v>#ROWS{12}</v>
      </c>
      <c r="P3" s="9" t="str">
        <v>#ROWS{12}</v>
      </c>
      <c r="Q3" s="9" t="str">
        <v>#ROWS{12}</v>
      </c>
      <c r="R3" s="9" t="str">
        <v>#ROWS{12}</v>
      </c>
    </row>
    <row r="4" spans="2:18" x14ac:dyDescent="0.2">
      <c r="B4" s="7">
        <v>96.855999999999995</v>
      </c>
      <c r="C4" s="7" t="str">
        <f t="shared" si="0"/>
        <v>96.856-a</v>
      </c>
      <c r="D4" s="7" t="str">
        <f t="shared" si="1"/>
        <v>96.856-a-b</v>
      </c>
      <c r="E4" t="b">
        <f t="shared" ref="E4:E42" si="2">NOT(ISERROR(B4))</f>
        <v>1</v>
      </c>
    </row>
    <row r="5" spans="2:18" x14ac:dyDescent="0.2">
      <c r="B5" s="7" t="s">
        <v>8</v>
      </c>
      <c r="C5" s="7" t="str">
        <f t="shared" si="0"/>
        <v>zzz-a</v>
      </c>
      <c r="D5" s="7" t="str">
        <f t="shared" si="1"/>
        <v>zzz-a-b</v>
      </c>
      <c r="E5" t="b">
        <f t="shared" si="2"/>
        <v>1</v>
      </c>
      <c r="G5" s="9" t="str">
        <f t="array" ref="G5:R5">_xll.FilterRange(B2:D13,B43:D43,H8,H9,H10)</f>
        <v>#ROWS{12}</v>
      </c>
      <c r="H5" s="9" t="str">
        <v>#ROWS{12}</v>
      </c>
      <c r="I5" s="9" t="str">
        <v>#ROWS{12}</v>
      </c>
      <c r="J5" s="9" t="str">
        <v>#ROWS{12}</v>
      </c>
      <c r="K5" s="9" t="str">
        <v>#ROWS{12}</v>
      </c>
      <c r="L5" s="9" t="str">
        <v>#ROWS{12}</v>
      </c>
      <c r="M5" s="9" t="str">
        <v>#ROWS{12}</v>
      </c>
      <c r="N5" s="9" t="str">
        <v>#ROWS{12}</v>
      </c>
      <c r="O5" s="9" t="str">
        <v>#ROWS{12}</v>
      </c>
      <c r="P5" s="9" t="str">
        <v>#ROWS{12}</v>
      </c>
      <c r="Q5" s="9" t="str">
        <v>#ROWS{12}</v>
      </c>
      <c r="R5" s="9" t="str">
        <v>#ROWS{12}</v>
      </c>
    </row>
    <row r="6" spans="2:18" x14ac:dyDescent="0.2">
      <c r="B6" s="7" t="s">
        <v>10</v>
      </c>
      <c r="C6" s="7" t="str">
        <f t="shared" si="0"/>
        <v>ZZZ-a</v>
      </c>
      <c r="D6" s="7" t="str">
        <f t="shared" si="1"/>
        <v>ZZZ-a-b</v>
      </c>
      <c r="E6" t="b">
        <f t="shared" si="2"/>
        <v>1</v>
      </c>
    </row>
    <row r="7" spans="2:18" x14ac:dyDescent="0.2">
      <c r="B7" s="7">
        <v>2</v>
      </c>
      <c r="C7" s="7" t="str">
        <f t="shared" si="0"/>
        <v>2-a</v>
      </c>
      <c r="D7" s="7" t="str">
        <f t="shared" si="1"/>
        <v>2-a-b</v>
      </c>
      <c r="E7" t="b">
        <f t="shared" si="2"/>
        <v>1</v>
      </c>
    </row>
    <row r="8" spans="2:18" x14ac:dyDescent="0.2">
      <c r="B8" s="7" t="s">
        <v>2</v>
      </c>
      <c r="C8" s="7" t="str">
        <f t="shared" si="0"/>
        <v>DDD-a</v>
      </c>
      <c r="D8" s="7" t="str">
        <f t="shared" si="1"/>
        <v>DDD-a-b</v>
      </c>
      <c r="E8" t="b">
        <f t="shared" si="2"/>
        <v>1</v>
      </c>
      <c r="G8" s="3" t="s">
        <v>5</v>
      </c>
      <c r="H8" s="7"/>
      <c r="K8" s="9" t="str">
        <f t="array" ref="K8:K40">_xll.FilterRange(B2:D34,B43:D43,H8,H9,H10)</f>
        <v>-a</v>
      </c>
      <c r="M8" s="9" t="str">
        <f t="array" ref="M8:N9">_xll.FilterRange(C2:C3,E2:E3,H8,H9,H10)</f>
        <v>-a</v>
      </c>
      <c r="N8" s="9" t="str">
        <v>-a</v>
      </c>
    </row>
    <row r="9" spans="2:18" x14ac:dyDescent="0.2">
      <c r="B9" s="7" t="e">
        <v>#NAME?</v>
      </c>
      <c r="C9" s="7" t="e">
        <f t="shared" si="0"/>
        <v>#NAME?</v>
      </c>
      <c r="D9" s="7" t="e">
        <f t="shared" si="1"/>
        <v>#NAME?</v>
      </c>
      <c r="E9" t="b">
        <f t="shared" si="2"/>
        <v>0</v>
      </c>
      <c r="G9" s="3" t="s">
        <v>6</v>
      </c>
      <c r="H9" s="7"/>
      <c r="K9" s="9" t="str">
        <v>BBB-a</v>
      </c>
      <c r="M9" s="9" t="str">
        <v>-a</v>
      </c>
      <c r="N9" s="9" t="str">
        <v>-a</v>
      </c>
    </row>
    <row r="10" spans="2:18" x14ac:dyDescent="0.2">
      <c r="B10" s="10" t="str">
        <f>""</f>
        <v/>
      </c>
      <c r="C10" s="10" t="str">
        <f t="shared" si="0"/>
        <v>-a</v>
      </c>
      <c r="D10" s="10" t="str">
        <f t="shared" si="1"/>
        <v>-a-b</v>
      </c>
      <c r="E10" t="b">
        <f t="shared" si="2"/>
        <v>1</v>
      </c>
      <c r="G10" s="3" t="s">
        <v>7</v>
      </c>
      <c r="H10" s="7"/>
      <c r="K10" s="9" t="str">
        <v>96.856-a</v>
      </c>
    </row>
    <row r="11" spans="2:18" x14ac:dyDescent="0.2">
      <c r="B11" s="7" t="e">
        <v>#VALUE!</v>
      </c>
      <c r="C11" s="7" t="e">
        <f t="shared" si="0"/>
        <v>#VALUE!</v>
      </c>
      <c r="D11" s="7" t="e">
        <f t="shared" si="1"/>
        <v>#VALUE!</v>
      </c>
      <c r="E11" t="b">
        <f t="shared" si="2"/>
        <v>0</v>
      </c>
      <c r="K11" s="9" t="str">
        <v>zzz-a</v>
      </c>
    </row>
    <row r="12" spans="2:18" x14ac:dyDescent="0.2">
      <c r="B12" s="7" t="s">
        <v>1</v>
      </c>
      <c r="C12" s="7" t="str">
        <f t="shared" si="0"/>
        <v>BBB-a</v>
      </c>
      <c r="D12" s="7" t="str">
        <f t="shared" si="1"/>
        <v>BBB-a-b</v>
      </c>
      <c r="E12" t="b">
        <f t="shared" si="2"/>
        <v>1</v>
      </c>
      <c r="K12" s="9" t="str">
        <v>ZZZ-a</v>
      </c>
    </row>
    <row r="13" spans="2:18" x14ac:dyDescent="0.2">
      <c r="B13" s="7" t="b">
        <v>1</v>
      </c>
      <c r="C13" s="7" t="str">
        <f t="shared" si="0"/>
        <v>TRUE-a</v>
      </c>
      <c r="D13" s="7" t="str">
        <f t="shared" si="1"/>
        <v>TRUE-a-b</v>
      </c>
      <c r="E13" t="b">
        <f t="shared" si="2"/>
        <v>1</v>
      </c>
      <c r="G13" s="9">
        <f t="array" ref="G13:I40">_xll.FilterRange(B2:D42,E2:E42,H8,H9,H10)</f>
        <v>0</v>
      </c>
      <c r="H13" s="9" t="str">
        <v>-a</v>
      </c>
      <c r="I13" s="9" t="str">
        <v>-a-b</v>
      </c>
      <c r="K13" s="9" t="str">
        <v>2-a</v>
      </c>
    </row>
    <row r="14" spans="2:18" x14ac:dyDescent="0.2">
      <c r="B14" s="7">
        <v>3</v>
      </c>
      <c r="C14" s="7" t="str">
        <f t="shared" si="0"/>
        <v>3-a</v>
      </c>
      <c r="D14" s="7" t="str">
        <f t="shared" si="1"/>
        <v>3-a-b</v>
      </c>
      <c r="E14" t="b">
        <f t="shared" si="2"/>
        <v>1</v>
      </c>
      <c r="G14" s="9">
        <v>96.855999999999995</v>
      </c>
      <c r="H14" s="9" t="str">
        <v>96.856-a</v>
      </c>
      <c r="I14" s="9" t="str">
        <v>96.856-a-b</v>
      </c>
      <c r="K14" s="9" t="str">
        <v>DDD-a</v>
      </c>
    </row>
    <row r="15" spans="2:18" x14ac:dyDescent="0.2">
      <c r="B15" s="7" t="e">
        <v>#NUM!</v>
      </c>
      <c r="C15" s="7" t="e">
        <f t="shared" si="0"/>
        <v>#NUM!</v>
      </c>
      <c r="D15" s="7" t="e">
        <f t="shared" si="1"/>
        <v>#NUM!</v>
      </c>
      <c r="E15" t="b">
        <f t="shared" si="2"/>
        <v>0</v>
      </c>
      <c r="G15" s="9" t="str">
        <v>zzz</v>
      </c>
      <c r="H15" s="9" t="str">
        <v>zzz-a</v>
      </c>
      <c r="I15" s="9" t="str">
        <v>zzz-a-b</v>
      </c>
      <c r="K15" s="9" t="e">
        <v>#NAME?</v>
      </c>
    </row>
    <row r="16" spans="2:18" x14ac:dyDescent="0.2">
      <c r="B16" s="7" t="e">
        <v>#NAME?</v>
      </c>
      <c r="C16" s="7" t="e">
        <f t="shared" si="0"/>
        <v>#NAME?</v>
      </c>
      <c r="D16" s="7" t="e">
        <f t="shared" si="1"/>
        <v>#NAME?</v>
      </c>
      <c r="E16" t="b">
        <f t="shared" si="2"/>
        <v>0</v>
      </c>
      <c r="G16" s="9" t="str">
        <v>ZZZ</v>
      </c>
      <c r="H16" s="9" t="str">
        <v>ZZZ-a</v>
      </c>
      <c r="I16" s="9" t="str">
        <v>ZZZ-a-b</v>
      </c>
      <c r="K16" s="9" t="str">
        <v>-a</v>
      </c>
    </row>
    <row r="17" spans="2:11" x14ac:dyDescent="0.2">
      <c r="B17" s="7" t="s">
        <v>0</v>
      </c>
      <c r="C17" s="7" t="str">
        <f t="shared" si="0"/>
        <v>AAA-a</v>
      </c>
      <c r="D17" s="7" t="str">
        <f t="shared" si="1"/>
        <v>AAA-a-b</v>
      </c>
      <c r="E17" t="b">
        <f t="shared" si="2"/>
        <v>1</v>
      </c>
      <c r="G17" s="9">
        <v>2</v>
      </c>
      <c r="H17" s="9" t="str">
        <v>2-a</v>
      </c>
      <c r="I17" s="9" t="str">
        <v>2-a-b</v>
      </c>
      <c r="K17" s="9" t="e">
        <v>#VALUE!</v>
      </c>
    </row>
    <row r="18" spans="2:11" x14ac:dyDescent="0.2">
      <c r="B18" s="7" t="s">
        <v>3</v>
      </c>
      <c r="C18" s="7" t="str">
        <f t="shared" si="0"/>
        <v>CCC-a</v>
      </c>
      <c r="D18" s="7" t="str">
        <f t="shared" si="1"/>
        <v>CCC-a-b</v>
      </c>
      <c r="E18" t="b">
        <f t="shared" si="2"/>
        <v>1</v>
      </c>
      <c r="G18" s="9" t="str">
        <v>DDD</v>
      </c>
      <c r="H18" s="9" t="str">
        <v>DDD-a</v>
      </c>
      <c r="I18" s="9" t="str">
        <v>DDD-a-b</v>
      </c>
      <c r="K18" s="9" t="str">
        <v>BBB-a</v>
      </c>
    </row>
    <row r="19" spans="2:11" x14ac:dyDescent="0.2">
      <c r="B19" s="7" t="e">
        <v>#DIV/0!</v>
      </c>
      <c r="C19" s="7" t="e">
        <f t="shared" si="0"/>
        <v>#DIV/0!</v>
      </c>
      <c r="D19" s="7" t="e">
        <f t="shared" si="1"/>
        <v>#DIV/0!</v>
      </c>
      <c r="E19" t="b">
        <f t="shared" si="2"/>
        <v>0</v>
      </c>
      <c r="G19" s="9" t="str">
        <v/>
      </c>
      <c r="H19" s="9" t="str">
        <v>-a</v>
      </c>
      <c r="I19" s="9" t="str">
        <v>-a-b</v>
      </c>
      <c r="K19" s="9" t="str">
        <v>TRUE-a</v>
      </c>
    </row>
    <row r="20" spans="2:11" x14ac:dyDescent="0.2">
      <c r="B20" s="7" t="s">
        <v>2</v>
      </c>
      <c r="C20" s="7" t="str">
        <f t="shared" si="0"/>
        <v>DDD-a</v>
      </c>
      <c r="D20" s="7" t="str">
        <f t="shared" si="1"/>
        <v>DDD-a-b</v>
      </c>
      <c r="E20" t="b">
        <f t="shared" si="2"/>
        <v>1</v>
      </c>
      <c r="G20" s="9" t="str">
        <v>BBB</v>
      </c>
      <c r="H20" s="9" t="str">
        <v>BBB-a</v>
      </c>
      <c r="I20" s="9" t="str">
        <v>BBB-a-b</v>
      </c>
      <c r="K20" s="9" t="str">
        <v>3-a</v>
      </c>
    </row>
    <row r="21" spans="2:11" x14ac:dyDescent="0.2">
      <c r="B21" s="7">
        <v>30.26</v>
      </c>
      <c r="C21" s="7" t="str">
        <f t="shared" si="0"/>
        <v>30.26-a</v>
      </c>
      <c r="D21" s="7" t="str">
        <f t="shared" si="1"/>
        <v>30.26-a-b</v>
      </c>
      <c r="E21" t="b">
        <f t="shared" si="2"/>
        <v>1</v>
      </c>
      <c r="G21" s="9" t="b">
        <v>1</v>
      </c>
      <c r="H21" s="9" t="str">
        <v>TRUE-a</v>
      </c>
      <c r="I21" s="9" t="str">
        <v>TRUE-a-b</v>
      </c>
      <c r="K21" s="9" t="e">
        <v>#NUM!</v>
      </c>
    </row>
    <row r="22" spans="2:11" x14ac:dyDescent="0.2">
      <c r="B22" s="8" t="e">
        <v>#NULL!</v>
      </c>
      <c r="C22" s="8" t="e">
        <f t="shared" si="0"/>
        <v>#NULL!</v>
      </c>
      <c r="D22" s="8" t="e">
        <f t="shared" si="1"/>
        <v>#NULL!</v>
      </c>
      <c r="E22" t="b">
        <f t="shared" si="2"/>
        <v>0</v>
      </c>
      <c r="G22" s="9">
        <v>3</v>
      </c>
      <c r="H22" s="9" t="str">
        <v>3-a</v>
      </c>
      <c r="I22" s="9" t="str">
        <v>3-a-b</v>
      </c>
      <c r="K22" s="9" t="e">
        <v>#NAME?</v>
      </c>
    </row>
    <row r="23" spans="2:11" x14ac:dyDescent="0.2">
      <c r="B23" s="7">
        <v>2</v>
      </c>
      <c r="C23" s="7" t="str">
        <f t="shared" si="0"/>
        <v>2-a</v>
      </c>
      <c r="D23" s="7" t="str">
        <f t="shared" si="1"/>
        <v>2-a-b</v>
      </c>
      <c r="E23" t="b">
        <f t="shared" si="2"/>
        <v>1</v>
      </c>
      <c r="G23" s="9" t="str">
        <v>AAA</v>
      </c>
      <c r="H23" s="9" t="str">
        <v>AAA-a</v>
      </c>
      <c r="I23" s="9" t="str">
        <v>AAA-a-b</v>
      </c>
      <c r="K23" s="9" t="str">
        <v>AAA-a</v>
      </c>
    </row>
    <row r="24" spans="2:11" x14ac:dyDescent="0.2">
      <c r="B24" s="7" t="b">
        <v>0</v>
      </c>
      <c r="C24" s="7" t="str">
        <f t="shared" si="0"/>
        <v>FALSE-a</v>
      </c>
      <c r="D24" s="7" t="str">
        <f t="shared" si="1"/>
        <v>FALSE-a-b</v>
      </c>
      <c r="E24" t="b">
        <f t="shared" si="2"/>
        <v>1</v>
      </c>
      <c r="G24" s="9" t="str">
        <v>CCC</v>
      </c>
      <c r="H24" s="9" t="str">
        <v>CCC-a</v>
      </c>
      <c r="I24" s="9" t="str">
        <v>CCC-a-b</v>
      </c>
      <c r="K24" s="9" t="str">
        <v>CCC-a</v>
      </c>
    </row>
    <row r="25" spans="2:11" x14ac:dyDescent="0.2">
      <c r="B25" s="7" t="s">
        <v>9</v>
      </c>
      <c r="C25" s="7" t="str">
        <f t="shared" si="0"/>
        <v>aaa-a</v>
      </c>
      <c r="D25" s="7" t="str">
        <f t="shared" si="1"/>
        <v>aaa-a-b</v>
      </c>
      <c r="E25" t="b">
        <f t="shared" si="2"/>
        <v>1</v>
      </c>
      <c r="G25" s="9" t="str">
        <v>DDD</v>
      </c>
      <c r="H25" s="9" t="str">
        <v>DDD-a</v>
      </c>
      <c r="I25" s="9" t="str">
        <v>DDD-a-b</v>
      </c>
      <c r="K25" s="9" t="e">
        <v>#DIV/0!</v>
      </c>
    </row>
    <row r="26" spans="2:11" x14ac:dyDescent="0.2">
      <c r="B26" s="7">
        <v>88.088999999999999</v>
      </c>
      <c r="C26" s="7" t="str">
        <f t="shared" si="0"/>
        <v>88.089-a</v>
      </c>
      <c r="D26" s="7" t="str">
        <f t="shared" si="1"/>
        <v>88.089-a-b</v>
      </c>
      <c r="E26" t="b">
        <f t="shared" si="2"/>
        <v>1</v>
      </c>
      <c r="G26" s="9">
        <v>30.26</v>
      </c>
      <c r="H26" s="9" t="str">
        <v>30.26-a</v>
      </c>
      <c r="I26" s="9" t="str">
        <v>30.26-a-b</v>
      </c>
      <c r="K26" s="9" t="str">
        <v>DDD-a</v>
      </c>
    </row>
    <row r="27" spans="2:11" x14ac:dyDescent="0.2">
      <c r="B27" s="7">
        <v>2.827</v>
      </c>
      <c r="C27" s="7" t="str">
        <f t="shared" si="0"/>
        <v>2.827-a</v>
      </c>
      <c r="D27" s="7" t="str">
        <f t="shared" si="1"/>
        <v>2.827-a-b</v>
      </c>
      <c r="E27" t="b">
        <f t="shared" si="2"/>
        <v>1</v>
      </c>
      <c r="G27" s="9">
        <v>2</v>
      </c>
      <c r="H27" s="9" t="str">
        <v>2-a</v>
      </c>
      <c r="I27" s="9" t="str">
        <v>2-a-b</v>
      </c>
      <c r="K27" s="9" t="str">
        <v>30.26-a</v>
      </c>
    </row>
    <row r="28" spans="2:11" x14ac:dyDescent="0.2">
      <c r="B28" s="8" t="e">
        <v>#REF!</v>
      </c>
      <c r="C28" s="8" t="e">
        <f t="shared" si="0"/>
        <v>#REF!</v>
      </c>
      <c r="D28" s="8" t="e">
        <f t="shared" si="1"/>
        <v>#REF!</v>
      </c>
      <c r="E28" t="b">
        <f t="shared" si="2"/>
        <v>0</v>
      </c>
      <c r="G28" s="9" t="b">
        <v>0</v>
      </c>
      <c r="H28" s="9" t="str">
        <v>FALSE-a</v>
      </c>
      <c r="I28" s="9" t="str">
        <v>FALSE-a-b</v>
      </c>
      <c r="K28" s="9" t="e">
        <v>#NULL!</v>
      </c>
    </row>
    <row r="29" spans="2:11" x14ac:dyDescent="0.2">
      <c r="B29" s="7" t="b">
        <v>1</v>
      </c>
      <c r="C29" s="7" t="str">
        <f t="shared" si="0"/>
        <v>TRUE-a</v>
      </c>
      <c r="D29" s="7" t="str">
        <f t="shared" si="1"/>
        <v>TRUE-a-b</v>
      </c>
      <c r="E29" t="b">
        <f t="shared" si="2"/>
        <v>1</v>
      </c>
      <c r="G29" s="9" t="str">
        <v>aaa</v>
      </c>
      <c r="H29" s="9" t="str">
        <v>aaa-a</v>
      </c>
      <c r="I29" s="9" t="str">
        <v>aaa-a-b</v>
      </c>
      <c r="K29" s="9" t="str">
        <v>2-a</v>
      </c>
    </row>
    <row r="30" spans="2:11" x14ac:dyDescent="0.2">
      <c r="B30" s="7">
        <v>22.276</v>
      </c>
      <c r="C30" s="7" t="str">
        <f t="shared" si="0"/>
        <v>22.276-a</v>
      </c>
      <c r="D30" s="7" t="str">
        <f t="shared" si="1"/>
        <v>22.276-a-b</v>
      </c>
      <c r="E30" t="b">
        <f t="shared" si="2"/>
        <v>1</v>
      </c>
      <c r="G30" s="9">
        <v>88.088999999999999</v>
      </c>
      <c r="H30" s="9" t="str">
        <v>88.089-a</v>
      </c>
      <c r="I30" s="9" t="str">
        <v>88.089-a-b</v>
      </c>
      <c r="K30" s="9" t="str">
        <v>FALSE-a</v>
      </c>
    </row>
    <row r="31" spans="2:11" x14ac:dyDescent="0.2">
      <c r="B31" s="7" t="e">
        <v>#N/A</v>
      </c>
      <c r="C31" s="7" t="e">
        <f t="shared" si="0"/>
        <v>#N/A</v>
      </c>
      <c r="D31" s="7" t="e">
        <f t="shared" si="1"/>
        <v>#N/A</v>
      </c>
      <c r="E31" t="b">
        <f t="shared" si="2"/>
        <v>0</v>
      </c>
      <c r="G31" s="9">
        <v>2.827</v>
      </c>
      <c r="H31" s="9" t="str">
        <v>2.827-a</v>
      </c>
      <c r="I31" s="9" t="str">
        <v>2.827-a-b</v>
      </c>
      <c r="K31" s="9" t="str">
        <v>aaa-a</v>
      </c>
    </row>
    <row r="32" spans="2:11" x14ac:dyDescent="0.2">
      <c r="B32" s="7" t="e">
        <v>#N/A</v>
      </c>
      <c r="C32" s="7" t="e">
        <f t="shared" si="0"/>
        <v>#N/A</v>
      </c>
      <c r="D32" s="7" t="e">
        <f t="shared" si="1"/>
        <v>#N/A</v>
      </c>
      <c r="E32" t="b">
        <f t="shared" si="2"/>
        <v>0</v>
      </c>
      <c r="G32" s="9" t="b">
        <v>1</v>
      </c>
      <c r="H32" s="9" t="str">
        <v>TRUE-a</v>
      </c>
      <c r="I32" s="9" t="str">
        <v>TRUE-a-b</v>
      </c>
      <c r="K32" s="9" t="str">
        <v>88.089-a</v>
      </c>
    </row>
    <row r="33" spans="2:11" x14ac:dyDescent="0.2">
      <c r="B33" s="7" t="e">
        <v>#NAME?</v>
      </c>
      <c r="C33" s="7" t="e">
        <f t="shared" si="0"/>
        <v>#NAME?</v>
      </c>
      <c r="D33" s="7" t="e">
        <f t="shared" si="1"/>
        <v>#NAME?</v>
      </c>
      <c r="E33" t="b">
        <f t="shared" si="2"/>
        <v>0</v>
      </c>
      <c r="G33" s="9">
        <v>22.276</v>
      </c>
      <c r="H33" s="9" t="str">
        <v>22.276-a</v>
      </c>
      <c r="I33" s="9" t="str">
        <v>22.276-a-b</v>
      </c>
      <c r="K33" s="9" t="str">
        <v>2.827-a</v>
      </c>
    </row>
    <row r="34" spans="2:11" x14ac:dyDescent="0.2">
      <c r="B34" s="7" t="b">
        <v>1</v>
      </c>
      <c r="C34" s="7" t="str">
        <f t="shared" si="0"/>
        <v>TRUE-a</v>
      </c>
      <c r="D34" s="7" t="str">
        <f t="shared" si="1"/>
        <v>TRUE-a-b</v>
      </c>
      <c r="E34" t="b">
        <f t="shared" si="2"/>
        <v>1</v>
      </c>
      <c r="G34" s="9" t="b">
        <v>1</v>
      </c>
      <c r="H34" s="9" t="str">
        <v>TRUE-a</v>
      </c>
      <c r="I34" s="9" t="str">
        <v>TRUE-a-b</v>
      </c>
      <c r="K34" s="9" t="e">
        <v>#REF!</v>
      </c>
    </row>
    <row r="35" spans="2:11" x14ac:dyDescent="0.2">
      <c r="B35" s="7" t="s">
        <v>0</v>
      </c>
      <c r="C35" s="7" t="str">
        <f t="shared" si="0"/>
        <v>AAA-a</v>
      </c>
      <c r="D35" s="7" t="str">
        <f t="shared" si="1"/>
        <v>AAA-a-b</v>
      </c>
      <c r="E35" t="b">
        <f t="shared" si="2"/>
        <v>1</v>
      </c>
      <c r="G35" s="9" t="str">
        <v>AAA</v>
      </c>
      <c r="H35" s="9" t="str">
        <v>AAA-a</v>
      </c>
      <c r="I35" s="9" t="str">
        <v>AAA-a-b</v>
      </c>
      <c r="K35" s="9" t="str">
        <v>TRUE-a</v>
      </c>
    </row>
    <row r="36" spans="2:11" x14ac:dyDescent="0.2">
      <c r="B36" s="7" t="e">
        <v>#VALUE!</v>
      </c>
      <c r="C36" s="7" t="e">
        <f t="shared" si="0"/>
        <v>#VALUE!</v>
      </c>
      <c r="D36" s="7" t="e">
        <f t="shared" si="1"/>
        <v>#VALUE!</v>
      </c>
      <c r="E36" t="b">
        <f t="shared" si="2"/>
        <v>0</v>
      </c>
      <c r="G36" s="9" t="str">
        <v>BBB</v>
      </c>
      <c r="H36" s="9" t="str">
        <v>BBB-a</v>
      </c>
      <c r="I36" s="9" t="str">
        <v>BBB-a-b</v>
      </c>
      <c r="K36" s="9" t="str">
        <v>22.276-a</v>
      </c>
    </row>
    <row r="37" spans="2:11" x14ac:dyDescent="0.2">
      <c r="B37" s="7" t="s">
        <v>1</v>
      </c>
      <c r="C37" s="7" t="str">
        <f t="shared" si="0"/>
        <v>BBB-a</v>
      </c>
      <c r="D37" s="7" t="str">
        <f t="shared" si="1"/>
        <v>BBB-a-b</v>
      </c>
      <c r="E37" t="b">
        <f t="shared" si="2"/>
        <v>1</v>
      </c>
      <c r="G37" s="9" t="b">
        <v>0</v>
      </c>
      <c r="H37" s="9" t="str">
        <v>FALSE-a</v>
      </c>
      <c r="I37" s="9" t="str">
        <v>FALSE-a-b</v>
      </c>
      <c r="K37" s="9" t="e">
        <v>#N/A</v>
      </c>
    </row>
    <row r="38" spans="2:11" x14ac:dyDescent="0.2">
      <c r="B38" s="7" t="b">
        <v>0</v>
      </c>
      <c r="C38" s="7" t="str">
        <f t="shared" si="0"/>
        <v>FALSE-a</v>
      </c>
      <c r="D38" s="7" t="str">
        <f t="shared" si="1"/>
        <v>FALSE-a-b</v>
      </c>
      <c r="E38" t="b">
        <f t="shared" si="2"/>
        <v>1</v>
      </c>
      <c r="G38" s="9">
        <v>1</v>
      </c>
      <c r="H38" s="9" t="str">
        <v>1-a</v>
      </c>
      <c r="I38" s="9" t="str">
        <v>1-a-b</v>
      </c>
      <c r="K38" s="9" t="e">
        <v>#N/A</v>
      </c>
    </row>
    <row r="39" spans="2:11" x14ac:dyDescent="0.2">
      <c r="B39" s="7" t="e">
        <v>#NUM!</v>
      </c>
      <c r="C39" s="7" t="e">
        <f t="shared" si="0"/>
        <v>#NUM!</v>
      </c>
      <c r="D39" s="7" t="e">
        <f t="shared" si="1"/>
        <v>#NUM!</v>
      </c>
      <c r="E39" t="b">
        <f t="shared" si="2"/>
        <v>0</v>
      </c>
      <c r="G39" s="9" t="str">
        <v>DDD</v>
      </c>
      <c r="H39" s="9" t="str">
        <v>DDD-a</v>
      </c>
      <c r="I39" s="9" t="str">
        <v>DDD-a-b</v>
      </c>
      <c r="K39" s="9" t="e">
        <v>#NAME?</v>
      </c>
    </row>
    <row r="40" spans="2:11" x14ac:dyDescent="0.2">
      <c r="B40" s="7">
        <v>1</v>
      </c>
      <c r="C40" s="7" t="str">
        <f t="shared" si="0"/>
        <v>1-a</v>
      </c>
      <c r="D40" s="7" t="str">
        <f t="shared" si="1"/>
        <v>1-a-b</v>
      </c>
      <c r="E40" t="b">
        <f t="shared" si="2"/>
        <v>1</v>
      </c>
      <c r="G40" s="9">
        <v>1</v>
      </c>
      <c r="H40" s="9" t="str">
        <v>1-a</v>
      </c>
      <c r="I40" s="9" t="str">
        <v>1-a-b</v>
      </c>
      <c r="K40" s="9" t="str">
        <v>TRUE-a</v>
      </c>
    </row>
    <row r="41" spans="2:11" x14ac:dyDescent="0.2">
      <c r="B41" s="7" t="s">
        <v>2</v>
      </c>
      <c r="C41" s="7" t="str">
        <f t="shared" si="0"/>
        <v>DDD-a</v>
      </c>
      <c r="D41" s="7" t="str">
        <f t="shared" si="1"/>
        <v>DDD-a-b</v>
      </c>
      <c r="E41" t="b">
        <f t="shared" si="2"/>
        <v>1</v>
      </c>
    </row>
    <row r="42" spans="2:11" x14ac:dyDescent="0.2">
      <c r="B42" s="7">
        <v>1</v>
      </c>
      <c r="C42" s="7" t="str">
        <f t="shared" si="0"/>
        <v>1-a</v>
      </c>
      <c r="D42" s="7" t="str">
        <f t="shared" si="1"/>
        <v>1-a-b</v>
      </c>
      <c r="E42" t="b">
        <f t="shared" si="2"/>
        <v>1</v>
      </c>
    </row>
    <row r="43" spans="2:11" x14ac:dyDescent="0.2">
      <c r="B43" t="b">
        <v>0</v>
      </c>
      <c r="C43" t="b">
        <v>1</v>
      </c>
      <c r="D43" s="14" t="b">
        <v>0</v>
      </c>
    </row>
  </sheetData>
  <dataValidations count="1">
    <dataValidation type="list" allowBlank="1" showInputMessage="1" showErrorMessage="1" sqref="H8:H10 E3 D43" xr:uid="{00000000-0002-0000-0100-000000000000}">
      <formula1>dvBool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H29"/>
  <sheetViews>
    <sheetView workbookViewId="0">
      <selection activeCell="C2" sqref="C2"/>
    </sheetView>
  </sheetViews>
  <sheetFormatPr defaultRowHeight="10" x14ac:dyDescent="0.2"/>
  <cols>
    <col min="1" max="2" width="3.77734375" customWidth="1"/>
    <col min="3" max="4" width="10.77734375" customWidth="1"/>
    <col min="5" max="5" width="3.77734375" customWidth="1"/>
  </cols>
  <sheetData>
    <row r="2" spans="2:8" x14ac:dyDescent="0.2">
      <c r="B2" s="12">
        <v>1</v>
      </c>
      <c r="C2" s="11"/>
      <c r="D2" s="13" t="str">
        <f ca="1">REPT(CHAR(64+RANDBETWEEN(1,25)),4)</f>
        <v>RRRR</v>
      </c>
      <c r="F2" s="3" t="s">
        <v>5</v>
      </c>
      <c r="G2" s="7"/>
    </row>
    <row r="3" spans="2:8" x14ac:dyDescent="0.2">
      <c r="B3" s="12">
        <f>B2+1</f>
        <v>2</v>
      </c>
      <c r="C3" s="7" t="s">
        <v>1</v>
      </c>
      <c r="D3" s="13" t="str">
        <f t="shared" ref="D3:D29" ca="1" si="0">REPT(CHAR(64+RANDBETWEEN(1,25)),4)</f>
        <v>PPPP</v>
      </c>
      <c r="F3" s="3" t="s">
        <v>6</v>
      </c>
      <c r="G3" s="7"/>
    </row>
    <row r="4" spans="2:8" x14ac:dyDescent="0.2">
      <c r="B4" s="12">
        <f t="shared" ref="B4:B29" si="1">B3+1</f>
        <v>3</v>
      </c>
      <c r="C4" s="7">
        <v>96.855999999999995</v>
      </c>
      <c r="D4" s="13" t="str">
        <f t="shared" ca="1" si="0"/>
        <v>JJJJ</v>
      </c>
      <c r="F4" s="3" t="s">
        <v>7</v>
      </c>
      <c r="G4" s="7"/>
    </row>
    <row r="5" spans="2:8" x14ac:dyDescent="0.2">
      <c r="B5" s="12">
        <f t="shared" si="1"/>
        <v>4</v>
      </c>
      <c r="C5" s="7" t="s">
        <v>10</v>
      </c>
      <c r="D5" s="13" t="str">
        <f t="shared" ca="1" si="0"/>
        <v>HHHH</v>
      </c>
    </row>
    <row r="6" spans="2:8" x14ac:dyDescent="0.2">
      <c r="B6" s="12">
        <f t="shared" si="1"/>
        <v>5</v>
      </c>
      <c r="C6" s="7">
        <v>96.855999999999995</v>
      </c>
      <c r="D6" s="13" t="str">
        <f t="shared" ca="1" si="0"/>
        <v>QQQQ</v>
      </c>
      <c r="F6" s="7" t="s">
        <v>2</v>
      </c>
      <c r="G6" s="12">
        <f>COUNTIF(C2:C29,F6)</f>
        <v>3</v>
      </c>
    </row>
    <row r="7" spans="2:8" x14ac:dyDescent="0.2">
      <c r="B7" s="12">
        <f t="shared" si="1"/>
        <v>6</v>
      </c>
      <c r="C7" s="7" t="s">
        <v>2</v>
      </c>
      <c r="D7" s="13" t="str">
        <f t="shared" ca="1" si="0"/>
        <v>VVVV</v>
      </c>
    </row>
    <row r="8" spans="2:8" x14ac:dyDescent="0.2">
      <c r="B8" s="12">
        <f t="shared" si="1"/>
        <v>7</v>
      </c>
      <c r="C8" s="7" t="e">
        <v>#NAME?</v>
      </c>
      <c r="D8" s="13" t="str">
        <f t="shared" ca="1" si="0"/>
        <v>BBBB</v>
      </c>
      <c r="F8" s="9">
        <f t="array" ref="F8:F10">_xll.MatchAll(F6,C2:C29,G2,G3,G4)</f>
        <v>6</v>
      </c>
      <c r="G8" s="13" t="str">
        <f t="array" aca="1" ref="G8:G10" ca="1">INDEX(D2:D29,F8:F10)</f>
        <v>VVVV</v>
      </c>
    </row>
    <row r="9" spans="2:8" x14ac:dyDescent="0.2">
      <c r="B9" s="12">
        <f t="shared" si="1"/>
        <v>8</v>
      </c>
      <c r="C9" s="10" t="str">
        <f>""</f>
        <v/>
      </c>
      <c r="D9" s="13" t="str">
        <f t="shared" ca="1" si="0"/>
        <v>NNNN</v>
      </c>
      <c r="F9" s="9">
        <v>14</v>
      </c>
      <c r="G9" s="13" t="str">
        <f ca="1"/>
        <v>GGGG</v>
      </c>
    </row>
    <row r="10" spans="2:8" x14ac:dyDescent="0.2">
      <c r="B10" s="12">
        <f t="shared" si="1"/>
        <v>9</v>
      </c>
      <c r="C10" s="7" t="e">
        <v>#VALUE!</v>
      </c>
      <c r="D10" s="13" t="str">
        <f t="shared" ca="1" si="0"/>
        <v>JJJJ</v>
      </c>
      <c r="F10" s="9">
        <v>27</v>
      </c>
      <c r="G10" s="13" t="str">
        <f ca="1"/>
        <v>YYYY</v>
      </c>
    </row>
    <row r="11" spans="2:8" x14ac:dyDescent="0.2">
      <c r="B11" s="12">
        <f t="shared" si="1"/>
        <v>10</v>
      </c>
      <c r="C11" s="7" t="s">
        <v>1</v>
      </c>
      <c r="D11" s="13" t="str">
        <f t="shared" ca="1" si="0"/>
        <v>DDDD</v>
      </c>
    </row>
    <row r="12" spans="2:8" x14ac:dyDescent="0.2">
      <c r="B12" s="12">
        <f t="shared" si="1"/>
        <v>11</v>
      </c>
      <c r="C12" s="7" t="b">
        <v>1</v>
      </c>
      <c r="D12" s="13" t="str">
        <f t="shared" ca="1" si="0"/>
        <v>PPPP</v>
      </c>
      <c r="F12" s="9" t="str">
        <f t="array" ref="F12:H12">_xll.MatchAll(F6,C2:C29,G2,G3,G4)</f>
        <v>#ROWS{3}</v>
      </c>
      <c r="G12" s="9" t="str">
        <v>#ROWS{3}</v>
      </c>
      <c r="H12" s="9" t="str">
        <v>#ROWS{3}</v>
      </c>
    </row>
    <row r="13" spans="2:8" x14ac:dyDescent="0.2">
      <c r="B13" s="12">
        <f t="shared" si="1"/>
        <v>12</v>
      </c>
      <c r="C13" s="7" t="e">
        <v>#NAME?</v>
      </c>
      <c r="D13" s="13" t="str">
        <f t="shared" ca="1" si="0"/>
        <v>MMMM</v>
      </c>
      <c r="F13" s="13" t="e">
        <f t="array" ref="F13:H13">TRANSPOSE(INDEX(D2:D29,TRANSPOSE(F12:H12)))</f>
        <v>#VALUE!</v>
      </c>
      <c r="G13" s="13" t="e">
        <v>#VALUE!</v>
      </c>
      <c r="H13" s="13" t="e">
        <v>#VALUE!</v>
      </c>
    </row>
    <row r="14" spans="2:8" x14ac:dyDescent="0.2">
      <c r="B14" s="12">
        <f t="shared" si="1"/>
        <v>13</v>
      </c>
      <c r="C14" s="7" t="s">
        <v>0</v>
      </c>
      <c r="D14" s="13" t="str">
        <f t="shared" ca="1" si="0"/>
        <v>UUUU</v>
      </c>
    </row>
    <row r="15" spans="2:8" x14ac:dyDescent="0.2">
      <c r="B15" s="12">
        <f t="shared" si="1"/>
        <v>14</v>
      </c>
      <c r="C15" s="7" t="s">
        <v>2</v>
      </c>
      <c r="D15" s="13" t="str">
        <f t="shared" ca="1" si="0"/>
        <v>GGGG</v>
      </c>
    </row>
    <row r="16" spans="2:8" x14ac:dyDescent="0.2">
      <c r="B16" s="12">
        <f t="shared" si="1"/>
        <v>15</v>
      </c>
      <c r="C16" s="7" t="b">
        <v>0</v>
      </c>
      <c r="D16" s="13" t="str">
        <f t="shared" ca="1" si="0"/>
        <v>TTTT</v>
      </c>
      <c r="F16" s="7" t="str">
        <f>C5</f>
        <v>ZZZ</v>
      </c>
      <c r="G16" s="12">
        <f>COUNTIF(C2:C29,F16)</f>
        <v>1</v>
      </c>
    </row>
    <row r="17" spans="2:8" x14ac:dyDescent="0.2">
      <c r="B17" s="12">
        <f t="shared" si="1"/>
        <v>16</v>
      </c>
      <c r="C17" s="7" t="b">
        <v>1</v>
      </c>
      <c r="D17" s="13" t="str">
        <f t="shared" ca="1" si="0"/>
        <v>FFFF</v>
      </c>
    </row>
    <row r="18" spans="2:8" x14ac:dyDescent="0.2">
      <c r="B18" s="12">
        <f t="shared" si="1"/>
        <v>17</v>
      </c>
      <c r="C18" s="7" t="e">
        <v>#N/A</v>
      </c>
      <c r="D18" s="13" t="str">
        <f t="shared" ca="1" si="0"/>
        <v>VVVV</v>
      </c>
      <c r="F18" s="9">
        <f t="array" ref="F18:F20">_xll.MatchAll(F16,C2:C29,G2,G3,G4)</f>
        <v>4</v>
      </c>
      <c r="G18" s="13" t="str">
        <f t="array" aca="1" ref="G18:G20" ca="1">INDEX(D2:D29,F18:F20)</f>
        <v>HHHH</v>
      </c>
    </row>
    <row r="19" spans="2:8" x14ac:dyDescent="0.2">
      <c r="B19" s="12">
        <f t="shared" si="1"/>
        <v>18</v>
      </c>
      <c r="C19" s="7" t="e">
        <v>#N/A</v>
      </c>
      <c r="D19" s="13" t="str">
        <f t="shared" ca="1" si="0"/>
        <v>VVVV</v>
      </c>
      <c r="F19" s="9">
        <v>4</v>
      </c>
      <c r="G19" s="13" t="str">
        <f ca="1"/>
        <v>HHHH</v>
      </c>
    </row>
    <row r="20" spans="2:8" x14ac:dyDescent="0.2">
      <c r="B20" s="12">
        <f t="shared" si="1"/>
        <v>19</v>
      </c>
      <c r="C20" s="7" t="e">
        <v>#NAME?</v>
      </c>
      <c r="D20" s="13" t="str">
        <f t="shared" ca="1" si="0"/>
        <v>CCCC</v>
      </c>
      <c r="F20" s="9">
        <v>4</v>
      </c>
      <c r="G20" s="13" t="str">
        <f ca="1"/>
        <v>HHHH</v>
      </c>
    </row>
    <row r="21" spans="2:8" x14ac:dyDescent="0.2">
      <c r="B21" s="12">
        <f t="shared" si="1"/>
        <v>20</v>
      </c>
      <c r="C21" s="7" t="b">
        <v>1</v>
      </c>
      <c r="D21" s="13" t="str">
        <f t="shared" ca="1" si="0"/>
        <v>HHHH</v>
      </c>
    </row>
    <row r="22" spans="2:8" x14ac:dyDescent="0.2">
      <c r="B22" s="12">
        <f t="shared" si="1"/>
        <v>21</v>
      </c>
      <c r="C22" s="7" t="s">
        <v>0</v>
      </c>
      <c r="D22" s="13" t="str">
        <f t="shared" ca="1" si="0"/>
        <v>GGGG</v>
      </c>
      <c r="F22" s="9">
        <f t="array" ref="F22:H22">_xll.MatchAll(F16,C2:C29,G2,G3,G4)</f>
        <v>4</v>
      </c>
      <c r="G22" s="9">
        <v>4</v>
      </c>
      <c r="H22" s="9">
        <v>4</v>
      </c>
    </row>
    <row r="23" spans="2:8" x14ac:dyDescent="0.2">
      <c r="B23" s="12">
        <f t="shared" si="1"/>
        <v>22</v>
      </c>
      <c r="C23" s="7" t="e">
        <v>#VALUE!</v>
      </c>
      <c r="D23" s="13" t="str">
        <f t="shared" ca="1" si="0"/>
        <v>LLLL</v>
      </c>
      <c r="F23" s="13" t="str">
        <f t="array" aca="1" ref="F23:H23" ca="1">TRANSPOSE(INDEX(D2:D29,TRANSPOSE(F22:H22)))</f>
        <v>HHHH</v>
      </c>
      <c r="G23" s="13" t="str">
        <f ca="1"/>
        <v>HHHH</v>
      </c>
      <c r="H23" s="13" t="str">
        <f ca="1"/>
        <v>HHHH</v>
      </c>
    </row>
    <row r="24" spans="2:8" x14ac:dyDescent="0.2">
      <c r="B24" s="12">
        <f t="shared" si="1"/>
        <v>23</v>
      </c>
      <c r="C24" s="7" t="s">
        <v>1</v>
      </c>
      <c r="D24" s="13" t="str">
        <f t="shared" ca="1" si="0"/>
        <v>CCCC</v>
      </c>
    </row>
    <row r="25" spans="2:8" x14ac:dyDescent="0.2">
      <c r="B25" s="12">
        <f t="shared" si="1"/>
        <v>24</v>
      </c>
      <c r="C25" s="7" t="b">
        <v>0</v>
      </c>
      <c r="D25" s="13" t="str">
        <f t="shared" ca="1" si="0"/>
        <v>VVVV</v>
      </c>
    </row>
    <row r="26" spans="2:8" x14ac:dyDescent="0.2">
      <c r="B26" s="12">
        <f t="shared" si="1"/>
        <v>25</v>
      </c>
      <c r="C26" s="7" t="s">
        <v>1</v>
      </c>
      <c r="D26" s="13" t="str">
        <f t="shared" ca="1" si="0"/>
        <v>VVVV</v>
      </c>
    </row>
    <row r="27" spans="2:8" x14ac:dyDescent="0.2">
      <c r="B27" s="12">
        <f t="shared" si="1"/>
        <v>26</v>
      </c>
      <c r="C27" s="7">
        <v>1</v>
      </c>
      <c r="D27" s="13" t="str">
        <f t="shared" ca="1" si="0"/>
        <v>QQQQ</v>
      </c>
    </row>
    <row r="28" spans="2:8" x14ac:dyDescent="0.2">
      <c r="B28" s="12">
        <f t="shared" si="1"/>
        <v>27</v>
      </c>
      <c r="C28" s="7" t="s">
        <v>2</v>
      </c>
      <c r="D28" s="13" t="str">
        <f t="shared" ca="1" si="0"/>
        <v>YYYY</v>
      </c>
    </row>
    <row r="29" spans="2:8" x14ac:dyDescent="0.2">
      <c r="B29" s="12">
        <f t="shared" si="1"/>
        <v>28</v>
      </c>
      <c r="C29" s="7">
        <v>1</v>
      </c>
      <c r="D29" s="13" t="str">
        <f t="shared" ca="1" si="0"/>
        <v>OOOO</v>
      </c>
    </row>
  </sheetData>
  <dataValidations count="2">
    <dataValidation type="list" allowBlank="1" showInputMessage="1" showErrorMessage="1" sqref="G2:G4" xr:uid="{00000000-0002-0000-0200-000000000000}">
      <formula1>dvBool</formula1>
    </dataValidation>
    <dataValidation type="list" allowBlank="1" showInputMessage="1" sqref="F6" xr:uid="{00000000-0002-0000-0200-000001000000}">
      <formula1>$C$2:$C$29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M20"/>
  <sheetViews>
    <sheetView workbookViewId="0">
      <selection activeCell="B2" sqref="B2"/>
    </sheetView>
  </sheetViews>
  <sheetFormatPr defaultRowHeight="10" x14ac:dyDescent="0.2"/>
  <cols>
    <col min="1" max="1" width="3.77734375" customWidth="1"/>
  </cols>
  <sheetData>
    <row r="2" spans="2:13" x14ac:dyDescent="0.2">
      <c r="B2" s="11"/>
      <c r="C2" s="7">
        <v>96.855999999999995</v>
      </c>
      <c r="D2" s="7" t="e">
        <v>#VALUE!</v>
      </c>
      <c r="F2" s="7" t="s">
        <v>0</v>
      </c>
      <c r="G2" s="7" t="e">
        <v>#N/A</v>
      </c>
      <c r="H2" s="7" t="s">
        <v>0</v>
      </c>
      <c r="I2" s="7" t="s">
        <v>1</v>
      </c>
      <c r="L2" s="3" t="s">
        <v>5</v>
      </c>
      <c r="M2" s="7"/>
    </row>
    <row r="3" spans="2:13" x14ac:dyDescent="0.2">
      <c r="B3" s="7" t="s">
        <v>1</v>
      </c>
      <c r="C3" s="7" t="s">
        <v>2</v>
      </c>
      <c r="D3" s="7" t="s">
        <v>1</v>
      </c>
      <c r="F3" s="7" t="s">
        <v>2</v>
      </c>
      <c r="G3" s="7" t="e">
        <v>#N/A</v>
      </c>
      <c r="H3" s="7" t="e">
        <v>#VALUE!</v>
      </c>
      <c r="I3" s="7">
        <v>1</v>
      </c>
      <c r="L3" s="3" t="s">
        <v>6</v>
      </c>
      <c r="M3" s="7"/>
    </row>
    <row r="4" spans="2:13" x14ac:dyDescent="0.2">
      <c r="B4" s="7">
        <v>96.855999999999995</v>
      </c>
      <c r="C4" s="7" t="e">
        <v>#NAME?</v>
      </c>
      <c r="D4" s="7" t="b">
        <v>1</v>
      </c>
      <c r="F4" s="7" t="b">
        <v>0</v>
      </c>
      <c r="G4" s="7" t="e">
        <v>#NAME?</v>
      </c>
      <c r="H4" s="7" t="s">
        <v>1</v>
      </c>
      <c r="I4" s="7" t="s">
        <v>2</v>
      </c>
    </row>
    <row r="5" spans="2:13" x14ac:dyDescent="0.2">
      <c r="B5" s="7" t="s">
        <v>10</v>
      </c>
      <c r="C5" s="10" t="str">
        <f>""</f>
        <v/>
      </c>
      <c r="D5" s="7" t="e">
        <v>#NAME?</v>
      </c>
      <c r="F5" s="7" t="b">
        <v>1</v>
      </c>
      <c r="G5" s="7" t="b">
        <v>1</v>
      </c>
      <c r="H5" s="7" t="b">
        <v>0</v>
      </c>
      <c r="I5" s="7">
        <v>1</v>
      </c>
    </row>
    <row r="8" spans="2:13" x14ac:dyDescent="0.2">
      <c r="B8" s="9">
        <f t="array" ref="B8:H11">_xll.HCat(B2:D5,F2:I5,M2,M3)</f>
        <v>0</v>
      </c>
      <c r="C8" s="9">
        <v>96.855999999999995</v>
      </c>
      <c r="D8" s="9" t="e">
        <v>#VALUE!</v>
      </c>
      <c r="E8" s="9" t="str">
        <v>AAA</v>
      </c>
      <c r="F8" s="9" t="e">
        <v>#N/A</v>
      </c>
      <c r="G8" s="9" t="str">
        <v>AAA</v>
      </c>
      <c r="H8" s="9" t="str">
        <v>BBB</v>
      </c>
      <c r="J8" s="9" t="str">
        <f t="array" ref="J8:M14">_xll.HCat(B2:D5,F2:I5,M2,M3)</f>
        <v>#COLS{7}</v>
      </c>
      <c r="K8" s="9" t="str">
        <v>#COLS{7}</v>
      </c>
      <c r="L8" s="9" t="str">
        <v>#COLS{7}</v>
      </c>
      <c r="M8" s="9" t="str">
        <v>#COLS{7}</v>
      </c>
    </row>
    <row r="9" spans="2:13" x14ac:dyDescent="0.2">
      <c r="B9" s="9" t="str">
        <v>BBB</v>
      </c>
      <c r="C9" s="9" t="str">
        <v>DDD</v>
      </c>
      <c r="D9" s="9" t="str">
        <v>BBB</v>
      </c>
      <c r="E9" s="9" t="str">
        <v>DDD</v>
      </c>
      <c r="F9" s="9" t="e">
        <v>#N/A</v>
      </c>
      <c r="G9" s="9" t="e">
        <v>#VALUE!</v>
      </c>
      <c r="H9" s="9">
        <v>1</v>
      </c>
      <c r="J9" s="9" t="str">
        <v>#COLS{7}</v>
      </c>
      <c r="K9" s="9" t="str">
        <v>#COLS{7}</v>
      </c>
      <c r="L9" s="9" t="str">
        <v>#COLS{7}</v>
      </c>
      <c r="M9" s="9" t="str">
        <v>#COLS{7}</v>
      </c>
    </row>
    <row r="10" spans="2:13" x14ac:dyDescent="0.2">
      <c r="B10" s="9">
        <v>96.855999999999995</v>
      </c>
      <c r="C10" s="9" t="e">
        <v>#NAME?</v>
      </c>
      <c r="D10" s="9" t="b">
        <v>1</v>
      </c>
      <c r="E10" s="9" t="b">
        <v>0</v>
      </c>
      <c r="F10" s="9" t="e">
        <v>#NAME?</v>
      </c>
      <c r="G10" s="9" t="str">
        <v>BBB</v>
      </c>
      <c r="H10" s="9" t="str">
        <v>DDD</v>
      </c>
      <c r="J10" s="9" t="str">
        <v>#COLS{7}</v>
      </c>
      <c r="K10" s="9" t="str">
        <v>#COLS{7}</v>
      </c>
      <c r="L10" s="9" t="str">
        <v>#COLS{7}</v>
      </c>
      <c r="M10" s="9" t="str">
        <v>#COLS{7}</v>
      </c>
    </row>
    <row r="11" spans="2:13" x14ac:dyDescent="0.2">
      <c r="B11" s="9" t="str">
        <v>ZZZ</v>
      </c>
      <c r="C11" s="9" t="str">
        <v/>
      </c>
      <c r="D11" s="9" t="e">
        <v>#NAME?</v>
      </c>
      <c r="E11" s="9" t="b">
        <v>1</v>
      </c>
      <c r="F11" s="9" t="b">
        <v>1</v>
      </c>
      <c r="G11" s="9" t="b">
        <v>0</v>
      </c>
      <c r="H11" s="9">
        <v>1</v>
      </c>
      <c r="J11" s="9" t="str">
        <v>#COLS{7}</v>
      </c>
      <c r="K11" s="9" t="str">
        <v>#COLS{7}</v>
      </c>
      <c r="L11" s="9" t="str">
        <v>#COLS{7}</v>
      </c>
      <c r="M11" s="9" t="str">
        <v>#COLS{7}</v>
      </c>
    </row>
    <row r="12" spans="2:13" x14ac:dyDescent="0.2">
      <c r="J12" s="9" t="str">
        <v>#COLS{7}</v>
      </c>
      <c r="K12" s="9" t="str">
        <v>#COLS{7}</v>
      </c>
      <c r="L12" s="9" t="str">
        <v>#COLS{7}</v>
      </c>
      <c r="M12" s="9" t="str">
        <v>#COLS{7}</v>
      </c>
    </row>
    <row r="13" spans="2:13" x14ac:dyDescent="0.2">
      <c r="J13" s="9" t="str">
        <v>#COLS{7}</v>
      </c>
      <c r="K13" s="9" t="str">
        <v>#COLS{7}</v>
      </c>
      <c r="L13" s="9" t="str">
        <v>#COLS{7}</v>
      </c>
      <c r="M13" s="9" t="str">
        <v>#COLS{7}</v>
      </c>
    </row>
    <row r="14" spans="2:13" x14ac:dyDescent="0.2">
      <c r="B14" s="16">
        <f t="array" ref="B14:D20">_xll.VCat(B2:D5,F2:H4,M2,M3)</f>
        <v>0</v>
      </c>
      <c r="C14" s="16">
        <v>96.855999999999995</v>
      </c>
      <c r="D14" s="16" t="e">
        <v>#VALUE!</v>
      </c>
      <c r="J14" s="9" t="str">
        <v>#COLS{7}</v>
      </c>
      <c r="K14" s="9" t="str">
        <v>#COLS{7}</v>
      </c>
      <c r="L14" s="9" t="str">
        <v>#COLS{7}</v>
      </c>
      <c r="M14" s="9" t="str">
        <v>#COLS{7}</v>
      </c>
    </row>
    <row r="15" spans="2:13" x14ac:dyDescent="0.2">
      <c r="B15" s="16" t="str">
        <v>BBB</v>
      </c>
      <c r="C15" s="16" t="str">
        <v>DDD</v>
      </c>
      <c r="D15" s="16" t="str">
        <v>BBB</v>
      </c>
    </row>
    <row r="16" spans="2:13" x14ac:dyDescent="0.2">
      <c r="B16" s="16">
        <v>96.855999999999995</v>
      </c>
      <c r="C16" s="16" t="e">
        <v>#NAME?</v>
      </c>
      <c r="D16" s="16" t="b">
        <v>1</v>
      </c>
    </row>
    <row r="17" spans="2:12" x14ac:dyDescent="0.2">
      <c r="B17" s="16" t="str">
        <v>ZZZ</v>
      </c>
      <c r="C17" s="16" t="str">
        <v/>
      </c>
      <c r="D17" s="16" t="e">
        <v>#NAME?</v>
      </c>
      <c r="F17" s="16" t="str">
        <f t="array" ref="F17:L19">_xll.VCat(B2:D5,F2:H4,M2,M3)</f>
        <v>#ROWS{7}</v>
      </c>
      <c r="G17" s="16" t="str">
        <v>#ROWS{7}</v>
      </c>
      <c r="H17" s="16" t="str">
        <v>#ROWS{7}</v>
      </c>
      <c r="I17" s="16" t="str">
        <v>#ROWS{7}</v>
      </c>
      <c r="J17" s="16" t="str">
        <v>#ROWS{7}</v>
      </c>
      <c r="K17" s="16" t="str">
        <v>#ROWS{7}</v>
      </c>
      <c r="L17" s="16" t="str">
        <v>#ROWS{7}</v>
      </c>
    </row>
    <row r="18" spans="2:12" x14ac:dyDescent="0.2">
      <c r="B18" s="16" t="str">
        <v>AAA</v>
      </c>
      <c r="C18" s="16" t="e">
        <v>#N/A</v>
      </c>
      <c r="D18" s="16" t="str">
        <v>AAA</v>
      </c>
      <c r="F18" s="16" t="str">
        <v>#ROWS{7}</v>
      </c>
      <c r="G18" s="16" t="str">
        <v>#ROWS{7}</v>
      </c>
      <c r="H18" s="16" t="str">
        <v>#ROWS{7}</v>
      </c>
      <c r="I18" s="16" t="str">
        <v>#ROWS{7}</v>
      </c>
      <c r="J18" s="16" t="str">
        <v>#ROWS{7}</v>
      </c>
      <c r="K18" s="16" t="str">
        <v>#ROWS{7}</v>
      </c>
      <c r="L18" s="16" t="str">
        <v>#ROWS{7}</v>
      </c>
    </row>
    <row r="19" spans="2:12" x14ac:dyDescent="0.2">
      <c r="B19" s="16" t="str">
        <v>DDD</v>
      </c>
      <c r="C19" s="16" t="e">
        <v>#N/A</v>
      </c>
      <c r="D19" s="16" t="e">
        <v>#VALUE!</v>
      </c>
      <c r="F19" s="16" t="str">
        <v>#ROWS{7}</v>
      </c>
      <c r="G19" s="16" t="str">
        <v>#ROWS{7}</v>
      </c>
      <c r="H19" s="16" t="str">
        <v>#ROWS{7}</v>
      </c>
      <c r="I19" s="16" t="str">
        <v>#ROWS{7}</v>
      </c>
      <c r="J19" s="16" t="str">
        <v>#ROWS{7}</v>
      </c>
      <c r="K19" s="16" t="str">
        <v>#ROWS{7}</v>
      </c>
      <c r="L19" s="16" t="str">
        <v>#ROWS{7}</v>
      </c>
    </row>
    <row r="20" spans="2:12" x14ac:dyDescent="0.2">
      <c r="B20" s="16" t="b">
        <v>0</v>
      </c>
      <c r="C20" s="16" t="e">
        <v>#NAME?</v>
      </c>
      <c r="D20" s="16" t="str">
        <v>BBB</v>
      </c>
    </row>
  </sheetData>
  <dataValidations count="1">
    <dataValidation type="list" allowBlank="1" showInputMessage="1" showErrorMessage="1" sqref="M2:M3" xr:uid="{00000000-0002-0000-0300-000000000000}">
      <formula1>dvBool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2:AA71"/>
  <sheetViews>
    <sheetView workbookViewId="0"/>
  </sheetViews>
  <sheetFormatPr defaultRowHeight="10" customHeight="1" x14ac:dyDescent="0.2"/>
  <cols>
    <col min="1" max="1" width="3.77734375" customWidth="1"/>
    <col min="3" max="3" width="3.77734375" customWidth="1"/>
    <col min="4" max="4" width="9.77734375" customWidth="1"/>
    <col min="8" max="12" width="9.33203125" style="17"/>
    <col min="15" max="15" width="9.77734375" customWidth="1"/>
    <col min="16" max="16" width="20.77734375" customWidth="1"/>
    <col min="17" max="17" width="9.77734375" customWidth="1"/>
    <col min="19" max="20" width="9.77734375" style="17" customWidth="1"/>
    <col min="21" max="21" width="20.77734375" style="17" customWidth="1"/>
    <col min="22" max="22" width="9.33203125" style="17"/>
    <col min="23" max="23" width="21.77734375" customWidth="1"/>
    <col min="24" max="24" width="47.77734375" customWidth="1"/>
    <col min="26" max="26" width="9.77734375" customWidth="1"/>
    <col min="27" max="27" width="25.77734375" customWidth="1"/>
  </cols>
  <sheetData>
    <row r="2" spans="2:27" ht="10" customHeight="1" x14ac:dyDescent="0.2">
      <c r="B2" s="29" t="str">
        <f>E8&amp;"aaa|bbb;ccc|ddd!eee"</f>
        <v>aaa|bbb;ccc|ddd!eee</v>
      </c>
      <c r="E2" s="9" t="str">
        <f t="array" ref="E2:J2">_xll.SplitString(B2,E4,E5,E6,E7)</f>
        <v>aaa</v>
      </c>
      <c r="F2" s="9" t="str">
        <v>bbb;ccc</v>
      </c>
      <c r="G2" s="9" t="str">
        <v>ddd</v>
      </c>
      <c r="H2" s="9" t="str">
        <v>eee</v>
      </c>
      <c r="I2" s="9" t="e">
        <v>#N/A</v>
      </c>
      <c r="J2" s="9" t="e">
        <v>#N/A</v>
      </c>
      <c r="O2" s="30" t="s">
        <v>45</v>
      </c>
      <c r="P2" s="36"/>
      <c r="Q2" s="31"/>
      <c r="S2" s="30" t="s">
        <v>78</v>
      </c>
      <c r="T2" s="36"/>
      <c r="U2" s="31"/>
      <c r="W2" s="30" t="s">
        <v>224</v>
      </c>
      <c r="X2" s="31"/>
      <c r="Z2" s="30" t="s">
        <v>228</v>
      </c>
      <c r="AA2" s="31"/>
    </row>
    <row r="3" spans="2:27" ht="10" customHeight="1" x14ac:dyDescent="0.2">
      <c r="O3" s="19" t="s">
        <v>31</v>
      </c>
      <c r="P3" s="37" t="s">
        <v>32</v>
      </c>
      <c r="Q3" s="38"/>
      <c r="S3" s="19" t="s">
        <v>57</v>
      </c>
      <c r="T3" s="19" t="s">
        <v>58</v>
      </c>
      <c r="U3" s="19" t="s">
        <v>59</v>
      </c>
      <c r="W3" s="19" t="s">
        <v>31</v>
      </c>
      <c r="X3" s="19" t="s">
        <v>229</v>
      </c>
      <c r="Z3" s="19" t="s">
        <v>120</v>
      </c>
      <c r="AA3" s="19" t="s">
        <v>121</v>
      </c>
    </row>
    <row r="4" spans="2:27" s="17" customFormat="1" ht="10" customHeight="1" x14ac:dyDescent="0.2">
      <c r="B4" s="9" t="str">
        <f t="array" ref="B4:B9">_xll.SplitString(B2,E4,E5,E6,E7)</f>
        <v>#COLS{4}</v>
      </c>
      <c r="D4" s="3" t="s">
        <v>278</v>
      </c>
      <c r="E4" s="7" t="s">
        <v>279</v>
      </c>
      <c r="G4" s="9" t="str">
        <f t="array" ref="G4:I4">_xll.SplitString(E8&amp;"aaa",E4,E5,E6,E7)</f>
        <v>aaa</v>
      </c>
      <c r="H4" s="9" t="str">
        <v>aaa</v>
      </c>
      <c r="I4" s="9" t="str">
        <v>aaa</v>
      </c>
      <c r="O4" s="20" t="s">
        <v>41</v>
      </c>
      <c r="P4" s="39" t="s">
        <v>42</v>
      </c>
      <c r="Q4" s="40"/>
      <c r="S4" s="26" t="s">
        <v>60</v>
      </c>
      <c r="T4" s="26" t="s">
        <v>61</v>
      </c>
      <c r="U4" s="23" t="s">
        <v>62</v>
      </c>
      <c r="W4" s="26" t="s">
        <v>230</v>
      </c>
      <c r="X4" s="23" t="s">
        <v>98</v>
      </c>
      <c r="Z4" s="20" t="s">
        <v>122</v>
      </c>
      <c r="AA4" s="23" t="s">
        <v>123</v>
      </c>
    </row>
    <row r="5" spans="2:27" s="17" customFormat="1" ht="10" customHeight="1" x14ac:dyDescent="0.2">
      <c r="B5" s="9" t="str">
        <v>#COLS{4}</v>
      </c>
      <c r="D5" s="3" t="s">
        <v>5</v>
      </c>
      <c r="E5" s="7"/>
      <c r="O5" s="21" t="s">
        <v>43</v>
      </c>
      <c r="P5" s="32" t="s">
        <v>44</v>
      </c>
      <c r="Q5" s="33"/>
      <c r="S5" s="27" t="s">
        <v>63</v>
      </c>
      <c r="T5" s="27" t="s">
        <v>64</v>
      </c>
      <c r="U5" s="24" t="s">
        <v>65</v>
      </c>
      <c r="V5"/>
      <c r="W5" s="27" t="s">
        <v>266</v>
      </c>
      <c r="X5" s="24" t="s">
        <v>99</v>
      </c>
      <c r="Y5"/>
      <c r="Z5" s="21" t="s">
        <v>124</v>
      </c>
      <c r="AA5" s="24" t="s">
        <v>125</v>
      </c>
    </row>
    <row r="6" spans="2:27" ht="10" customHeight="1" x14ac:dyDescent="0.2">
      <c r="B6" s="9" t="str">
        <v>#COLS{4}</v>
      </c>
      <c r="D6" s="3" t="s">
        <v>6</v>
      </c>
      <c r="E6" s="7"/>
      <c r="G6" s="9" t="str">
        <f t="array" ref="G6:G8">_xll.SplitString(E8&amp;"aaa",E4,E5,E6,E7)</f>
        <v>aaa</v>
      </c>
      <c r="O6" s="21" t="s">
        <v>33</v>
      </c>
      <c r="P6" s="32" t="s">
        <v>34</v>
      </c>
      <c r="Q6" s="33"/>
      <c r="S6" s="27" t="s">
        <v>66</v>
      </c>
      <c r="T6" s="27" t="s">
        <v>67</v>
      </c>
      <c r="U6" s="24" t="s">
        <v>68</v>
      </c>
      <c r="V6"/>
      <c r="W6" s="27" t="s">
        <v>267</v>
      </c>
      <c r="X6" s="24" t="s">
        <v>231</v>
      </c>
      <c r="Z6" s="21" t="s">
        <v>126</v>
      </c>
      <c r="AA6" s="24" t="s">
        <v>127</v>
      </c>
    </row>
    <row r="7" spans="2:27" ht="10" customHeight="1" x14ac:dyDescent="0.2">
      <c r="B7" s="9" t="str">
        <v>#COLS{4}</v>
      </c>
      <c r="D7" s="3" t="s">
        <v>7</v>
      </c>
      <c r="E7" s="7"/>
      <c r="G7" s="9" t="str">
        <v>aaa</v>
      </c>
      <c r="O7" s="21" t="s">
        <v>35</v>
      </c>
      <c r="P7" s="32" t="s">
        <v>36</v>
      </c>
      <c r="Q7" s="33"/>
      <c r="S7" s="27" t="s">
        <v>69</v>
      </c>
      <c r="T7" s="27" t="s">
        <v>70</v>
      </c>
      <c r="U7" s="24" t="s">
        <v>71</v>
      </c>
      <c r="V7"/>
      <c r="W7" s="27" t="s">
        <v>232</v>
      </c>
      <c r="X7" s="24" t="s">
        <v>233</v>
      </c>
      <c r="Z7" s="21" t="s">
        <v>128</v>
      </c>
      <c r="AA7" s="24" t="s">
        <v>129</v>
      </c>
    </row>
    <row r="8" spans="2:27" ht="10" customHeight="1" x14ac:dyDescent="0.2">
      <c r="B8" s="9" t="str">
        <v>#COLS{4}</v>
      </c>
      <c r="E8" s="11"/>
      <c r="G8" s="9" t="str">
        <v>aaa</v>
      </c>
      <c r="O8" s="21" t="s">
        <v>37</v>
      </c>
      <c r="P8" s="32" t="s">
        <v>38</v>
      </c>
      <c r="Q8" s="33"/>
      <c r="S8" s="27" t="s">
        <v>72</v>
      </c>
      <c r="T8" s="27" t="s">
        <v>73</v>
      </c>
      <c r="U8" s="24" t="s">
        <v>74</v>
      </c>
      <c r="V8"/>
      <c r="W8" s="27" t="s">
        <v>234</v>
      </c>
      <c r="X8" s="24" t="s">
        <v>235</v>
      </c>
      <c r="Z8" s="21" t="s">
        <v>130</v>
      </c>
      <c r="AA8" s="24" t="s">
        <v>131</v>
      </c>
    </row>
    <row r="9" spans="2:27" ht="10" customHeight="1" x14ac:dyDescent="0.2">
      <c r="B9" s="9" t="str">
        <v>#COLS{4}</v>
      </c>
      <c r="O9" s="22" t="s">
        <v>39</v>
      </c>
      <c r="P9" s="34" t="s">
        <v>40</v>
      </c>
      <c r="Q9" s="35"/>
      <c r="S9" s="28" t="s">
        <v>75</v>
      </c>
      <c r="T9" s="28" t="s">
        <v>76</v>
      </c>
      <c r="U9" s="25" t="s">
        <v>77</v>
      </c>
      <c r="V9"/>
      <c r="W9" s="27" t="s">
        <v>236</v>
      </c>
      <c r="X9" s="24" t="s">
        <v>237</v>
      </c>
      <c r="Z9" s="21" t="s">
        <v>132</v>
      </c>
      <c r="AA9" s="24" t="s">
        <v>133</v>
      </c>
    </row>
    <row r="10" spans="2:27" ht="10" customHeight="1" x14ac:dyDescent="0.2">
      <c r="V10"/>
      <c r="W10" s="27" t="s">
        <v>238</v>
      </c>
      <c r="X10" s="24" t="s">
        <v>239</v>
      </c>
      <c r="Z10" s="21" t="s">
        <v>134</v>
      </c>
      <c r="AA10" s="24" t="s">
        <v>135</v>
      </c>
    </row>
    <row r="11" spans="2:27" ht="10" customHeight="1" x14ac:dyDescent="0.25">
      <c r="O11" s="30" t="s">
        <v>222</v>
      </c>
      <c r="P11" s="36"/>
      <c r="Q11" s="31"/>
      <c r="S11" s="30" t="s">
        <v>95</v>
      </c>
      <c r="T11" s="36"/>
      <c r="U11" s="31"/>
      <c r="V11"/>
      <c r="W11" s="27" t="s">
        <v>240</v>
      </c>
      <c r="X11" s="24" t="s">
        <v>241</v>
      </c>
      <c r="Z11" s="21" t="s">
        <v>271</v>
      </c>
      <c r="AA11" s="24" t="s">
        <v>136</v>
      </c>
    </row>
    <row r="12" spans="2:27" ht="10" customHeight="1" x14ac:dyDescent="0.25">
      <c r="B12" s="29" t="str">
        <f>E13&amp;"ArghBarzok"</f>
        <v>ArghBarzok</v>
      </c>
      <c r="D12" s="3" t="s">
        <v>281</v>
      </c>
      <c r="E12" s="7" t="b">
        <v>0</v>
      </c>
      <c r="G12" s="42" t="str">
        <f>_xll.RegMatch(B12,B13,E12)</f>
        <v>arzok</v>
      </c>
      <c r="O12" s="19" t="s">
        <v>31</v>
      </c>
      <c r="P12" s="19" t="s">
        <v>96</v>
      </c>
      <c r="Q12" s="19" t="s">
        <v>189</v>
      </c>
      <c r="S12" s="19" t="s">
        <v>31</v>
      </c>
      <c r="T12" s="37" t="s">
        <v>79</v>
      </c>
      <c r="U12" s="38"/>
      <c r="V12"/>
      <c r="W12" s="28" t="s">
        <v>242</v>
      </c>
      <c r="X12" s="25" t="s">
        <v>243</v>
      </c>
      <c r="Z12" s="21" t="s">
        <v>137</v>
      </c>
      <c r="AA12" s="24" t="s">
        <v>138</v>
      </c>
    </row>
    <row r="13" spans="2:27" ht="10" customHeight="1" x14ac:dyDescent="0.25">
      <c r="B13" s="29" t="s">
        <v>280</v>
      </c>
      <c r="E13" s="11"/>
      <c r="O13" s="20" t="s">
        <v>190</v>
      </c>
      <c r="P13" s="23" t="s">
        <v>191</v>
      </c>
      <c r="Q13" s="20" t="s">
        <v>192</v>
      </c>
      <c r="S13" s="20" t="s">
        <v>15</v>
      </c>
      <c r="T13" s="39" t="s">
        <v>80</v>
      </c>
      <c r="U13" s="40"/>
      <c r="V13"/>
      <c r="Z13" s="21" t="s">
        <v>272</v>
      </c>
      <c r="AA13" s="24" t="s">
        <v>139</v>
      </c>
    </row>
    <row r="14" spans="2:27" ht="10" customHeight="1" x14ac:dyDescent="0.2">
      <c r="O14" s="21" t="s">
        <v>193</v>
      </c>
      <c r="P14" s="24" t="s">
        <v>194</v>
      </c>
      <c r="Q14" s="21" t="s">
        <v>195</v>
      </c>
      <c r="S14" s="21" t="s">
        <v>81</v>
      </c>
      <c r="T14" s="32" t="s">
        <v>82</v>
      </c>
      <c r="U14" s="33"/>
      <c r="V14"/>
      <c r="W14" s="30" t="s">
        <v>226</v>
      </c>
      <c r="X14" s="31"/>
      <c r="Z14" s="21" t="s">
        <v>140</v>
      </c>
      <c r="AA14" s="24" t="s">
        <v>141</v>
      </c>
    </row>
    <row r="15" spans="2:27" ht="10" customHeight="1" x14ac:dyDescent="0.25">
      <c r="O15" s="21" t="s">
        <v>91</v>
      </c>
      <c r="P15" s="24" t="s">
        <v>196</v>
      </c>
      <c r="Q15" s="21" t="s">
        <v>197</v>
      </c>
      <c r="S15" s="21" t="s">
        <v>83</v>
      </c>
      <c r="T15" s="32" t="s">
        <v>84</v>
      </c>
      <c r="U15" s="33"/>
      <c r="V15"/>
      <c r="W15" s="19" t="s">
        <v>31</v>
      </c>
      <c r="X15" s="19" t="s">
        <v>96</v>
      </c>
      <c r="Z15" s="21" t="s">
        <v>273</v>
      </c>
      <c r="AA15" s="24" t="s">
        <v>142</v>
      </c>
    </row>
    <row r="16" spans="2:27" ht="10" customHeight="1" x14ac:dyDescent="0.25">
      <c r="B16" s="29" t="s">
        <v>13</v>
      </c>
      <c r="O16" s="21" t="s">
        <v>198</v>
      </c>
      <c r="P16" s="24" t="s">
        <v>199</v>
      </c>
      <c r="Q16" s="21" t="s">
        <v>200</v>
      </c>
      <c r="S16" s="21" t="s">
        <v>85</v>
      </c>
      <c r="T16" s="32" t="s">
        <v>86</v>
      </c>
      <c r="U16" s="33"/>
      <c r="V16"/>
      <c r="W16" s="26" t="s">
        <v>262</v>
      </c>
      <c r="X16" s="23" t="s">
        <v>101</v>
      </c>
      <c r="Z16" s="21" t="s">
        <v>143</v>
      </c>
      <c r="AA16" s="24" t="s">
        <v>144</v>
      </c>
    </row>
    <row r="17" spans="2:27" ht="10" customHeight="1" x14ac:dyDescent="0.25">
      <c r="O17" s="21" t="s">
        <v>201</v>
      </c>
      <c r="P17" s="24" t="s">
        <v>202</v>
      </c>
      <c r="Q17" s="21" t="s">
        <v>203</v>
      </c>
      <c r="S17" s="21" t="s">
        <v>87</v>
      </c>
      <c r="T17" s="32" t="s">
        <v>88</v>
      </c>
      <c r="U17" s="33"/>
      <c r="V17"/>
      <c r="W17" s="27" t="s">
        <v>261</v>
      </c>
      <c r="X17" s="24" t="s">
        <v>263</v>
      </c>
      <c r="Z17" s="21" t="s">
        <v>274</v>
      </c>
      <c r="AA17" s="24" t="s">
        <v>145</v>
      </c>
    </row>
    <row r="18" spans="2:27" ht="10" customHeight="1" x14ac:dyDescent="0.25">
      <c r="B18" s="43" t="b">
        <v>0</v>
      </c>
      <c r="D18" s="2" t="s">
        <v>14</v>
      </c>
      <c r="E18" s="2" t="s">
        <v>15</v>
      </c>
      <c r="G18" s="42" t="str">
        <f>_xll.RegReplace($B$16,D18,E18,B18)</f>
        <v>^ @^^^^^^^^^ ^^^ ^^^^^ ^^^^^^^?</v>
      </c>
      <c r="H18"/>
      <c r="I18"/>
      <c r="J18"/>
      <c r="K18"/>
      <c r="O18" s="21" t="s">
        <v>204</v>
      </c>
      <c r="P18" s="24" t="s">
        <v>205</v>
      </c>
      <c r="Q18" s="21" t="s">
        <v>206</v>
      </c>
      <c r="S18" s="21" t="s">
        <v>89</v>
      </c>
      <c r="T18" s="32" t="s">
        <v>90</v>
      </c>
      <c r="U18" s="33"/>
      <c r="V18"/>
      <c r="W18" s="28" t="s">
        <v>264</v>
      </c>
      <c r="X18" s="25" t="s">
        <v>265</v>
      </c>
      <c r="Z18" s="21" t="s">
        <v>146</v>
      </c>
      <c r="AA18" s="24" t="s">
        <v>147</v>
      </c>
    </row>
    <row r="19" spans="2:27" ht="10" customHeight="1" x14ac:dyDescent="0.25">
      <c r="B19" s="43" t="b">
        <v>0</v>
      </c>
      <c r="D19" s="2" t="s">
        <v>16</v>
      </c>
      <c r="E19" s="2" t="s">
        <v>15</v>
      </c>
      <c r="G19" s="42" t="str">
        <f>_xll.RegReplace($B$16,D19,E19,B19)</f>
        <v>A^^Character^123^Group^Example^</v>
      </c>
      <c r="H19"/>
      <c r="I19"/>
      <c r="J19"/>
      <c r="K19"/>
      <c r="O19" s="21" t="s">
        <v>97</v>
      </c>
      <c r="P19" s="24" t="s">
        <v>207</v>
      </c>
      <c r="Q19" s="21" t="s">
        <v>208</v>
      </c>
      <c r="S19" s="21" t="s">
        <v>91</v>
      </c>
      <c r="T19" s="32" t="s">
        <v>92</v>
      </c>
      <c r="U19" s="33"/>
      <c r="V19"/>
      <c r="Z19" s="21" t="s">
        <v>275</v>
      </c>
      <c r="AA19" s="24" t="s">
        <v>148</v>
      </c>
    </row>
    <row r="20" spans="2:27" ht="10" customHeight="1" x14ac:dyDescent="0.25">
      <c r="B20" s="43" t="b">
        <v>0</v>
      </c>
      <c r="D20" s="2" t="s">
        <v>17</v>
      </c>
      <c r="E20" s="2" t="s">
        <v>15</v>
      </c>
      <c r="G20" s="42" t="str">
        <f>_xll.RegReplace($B$16,D20,E20,B20)</f>
        <v>A^@Character^123^Group^Example?</v>
      </c>
      <c r="H20"/>
      <c r="I20"/>
      <c r="J20"/>
      <c r="K20"/>
      <c r="O20" s="21" t="s">
        <v>209</v>
      </c>
      <c r="P20" s="24" t="s">
        <v>210</v>
      </c>
      <c r="Q20" s="21" t="s">
        <v>211</v>
      </c>
      <c r="S20" s="22" t="s">
        <v>93</v>
      </c>
      <c r="T20" s="34" t="s">
        <v>94</v>
      </c>
      <c r="U20" s="35"/>
      <c r="V20"/>
      <c r="W20" s="30" t="s">
        <v>225</v>
      </c>
      <c r="X20" s="31"/>
      <c r="Z20" s="21" t="s">
        <v>149</v>
      </c>
      <c r="AA20" s="24" t="s">
        <v>150</v>
      </c>
    </row>
    <row r="21" spans="2:27" ht="10" customHeight="1" x14ac:dyDescent="0.25">
      <c r="B21" s="43" t="b">
        <v>0</v>
      </c>
      <c r="D21" s="2" t="s">
        <v>18</v>
      </c>
      <c r="E21" s="2" t="s">
        <v>15</v>
      </c>
      <c r="G21" s="42" t="str">
        <f>_xll.RegReplace($B$16,D21,E21,B21)</f>
        <v>A @Character ^^^ Group Example?</v>
      </c>
      <c r="H21"/>
      <c r="I21"/>
      <c r="J21"/>
      <c r="K21"/>
      <c r="O21" s="22" t="s">
        <v>212</v>
      </c>
      <c r="P21" s="25" t="s">
        <v>213</v>
      </c>
      <c r="Q21" s="22" t="s">
        <v>214</v>
      </c>
      <c r="V21"/>
      <c r="W21" s="19" t="s">
        <v>31</v>
      </c>
      <c r="X21" s="19" t="s">
        <v>256</v>
      </c>
      <c r="Z21" s="21" t="s">
        <v>276</v>
      </c>
      <c r="AA21" s="24" t="s">
        <v>151</v>
      </c>
    </row>
    <row r="22" spans="2:27" ht="10" customHeight="1" x14ac:dyDescent="0.25">
      <c r="B22" s="43" t="b">
        <v>0</v>
      </c>
      <c r="D22" s="2" t="s">
        <v>19</v>
      </c>
      <c r="E22" s="2" t="s">
        <v>15</v>
      </c>
      <c r="G22" s="42" t="str">
        <f>_xll.RegReplace($B$16,D22,E22,B22)</f>
        <v>^^^^^^^^^^^^^123^^^^^^^^^^^^^^^</v>
      </c>
      <c r="H22"/>
      <c r="I22"/>
      <c r="J22"/>
      <c r="K22"/>
      <c r="S22" s="30" t="s">
        <v>225</v>
      </c>
      <c r="T22" s="36"/>
      <c r="U22" s="31"/>
      <c r="V22"/>
      <c r="W22" s="26" t="s">
        <v>257</v>
      </c>
      <c r="X22" s="23" t="s">
        <v>258</v>
      </c>
      <c r="Z22" s="21" t="s">
        <v>277</v>
      </c>
      <c r="AA22" s="24" t="s">
        <v>152</v>
      </c>
    </row>
    <row r="23" spans="2:27" ht="10" customHeight="1" x14ac:dyDescent="0.25">
      <c r="B23" s="7" t="b">
        <v>1</v>
      </c>
      <c r="D23" s="2" t="s">
        <v>20</v>
      </c>
      <c r="E23" s="2" t="s">
        <v>15</v>
      </c>
      <c r="G23" s="42" t="str">
        <f>_xll.RegReplace($B$16,D23,E23,B23)</f>
        <v>^ @^^^^^^^^^ 123 ^^^^^ ^^^^^^^?</v>
      </c>
      <c r="H23"/>
      <c r="I23"/>
      <c r="J23"/>
      <c r="K23"/>
      <c r="O23" s="30" t="s">
        <v>223</v>
      </c>
      <c r="P23" s="36"/>
      <c r="Q23" s="31"/>
      <c r="S23" s="19" t="s">
        <v>244</v>
      </c>
      <c r="T23" s="37" t="s">
        <v>245</v>
      </c>
      <c r="U23" s="38"/>
      <c r="V23"/>
      <c r="W23" s="28" t="s">
        <v>259</v>
      </c>
      <c r="X23" s="25" t="s">
        <v>260</v>
      </c>
      <c r="Z23" s="21" t="s">
        <v>153</v>
      </c>
      <c r="AA23" s="24" t="s">
        <v>154</v>
      </c>
    </row>
    <row r="24" spans="2:27" ht="10" customHeight="1" x14ac:dyDescent="0.25">
      <c r="B24" s="43" t="b">
        <v>0</v>
      </c>
      <c r="D24" s="2" t="s">
        <v>21</v>
      </c>
      <c r="E24" s="2" t="s">
        <v>22</v>
      </c>
      <c r="G24" s="42" t="str">
        <f>_xll.RegReplace($B$16,D24,E24,B24)</f>
        <v>X @X 123 X X?</v>
      </c>
      <c r="H24"/>
      <c r="I24"/>
      <c r="J24"/>
      <c r="K24"/>
      <c r="O24" s="19" t="s">
        <v>31</v>
      </c>
      <c r="P24" s="37" t="s">
        <v>215</v>
      </c>
      <c r="Q24" s="38"/>
      <c r="S24" s="20" t="s">
        <v>246</v>
      </c>
      <c r="T24" s="39" t="s">
        <v>247</v>
      </c>
      <c r="U24" s="40"/>
      <c r="V24"/>
      <c r="Z24" s="21" t="s">
        <v>155</v>
      </c>
      <c r="AA24" s="24" t="s">
        <v>156</v>
      </c>
    </row>
    <row r="25" spans="2:27" ht="10" customHeight="1" x14ac:dyDescent="0.25">
      <c r="B25" s="7" t="b">
        <v>1</v>
      </c>
      <c r="D25" s="2" t="s">
        <v>23</v>
      </c>
      <c r="E25" s="2" t="s">
        <v>24</v>
      </c>
      <c r="G25" s="42" t="str">
        <f>_xll.RegReplace($B$16,D25,E25,B25)</f>
        <v>cter</v>
      </c>
      <c r="H25"/>
      <c r="I25"/>
      <c r="J25"/>
      <c r="K25"/>
      <c r="O25" s="20" t="s">
        <v>216</v>
      </c>
      <c r="P25" s="39" t="s">
        <v>217</v>
      </c>
      <c r="Q25" s="40"/>
      <c r="S25" s="21" t="s">
        <v>248</v>
      </c>
      <c r="T25" s="32" t="s">
        <v>249</v>
      </c>
      <c r="U25" s="33"/>
      <c r="V25"/>
      <c r="Z25" s="21" t="s">
        <v>157</v>
      </c>
      <c r="AA25" s="24" t="s">
        <v>158</v>
      </c>
    </row>
    <row r="26" spans="2:27" ht="10" customHeight="1" x14ac:dyDescent="0.25">
      <c r="B26" s="7" t="b">
        <v>1</v>
      </c>
      <c r="D26" s="2" t="s">
        <v>25</v>
      </c>
      <c r="E26" s="2" t="s">
        <v>15</v>
      </c>
      <c r="G26" s="42" t="str">
        <f>_xll.RegReplace($B$16,D26,E26,B26)</f>
        <v>^ @Ch^r^cter 123 Group Ex^mple?</v>
      </c>
      <c r="O26" s="21" t="s">
        <v>218</v>
      </c>
      <c r="P26" s="32" t="s">
        <v>219</v>
      </c>
      <c r="Q26" s="33"/>
      <c r="S26" s="21" t="s">
        <v>250</v>
      </c>
      <c r="T26" s="32" t="s">
        <v>251</v>
      </c>
      <c r="U26" s="33"/>
      <c r="V26"/>
      <c r="W26" s="18" t="str">
        <f>HYPERLINK("https://msdn.microsoft.com/en-us/library/az24scfc.aspx","RE Quick Reference")</f>
        <v>RE Quick Reference</v>
      </c>
      <c r="Z26" s="21" t="s">
        <v>159</v>
      </c>
      <c r="AA26" s="24" t="s">
        <v>160</v>
      </c>
    </row>
    <row r="27" spans="2:27" ht="10" customHeight="1" x14ac:dyDescent="0.25">
      <c r="B27" s="7" t="b">
        <v>0</v>
      </c>
      <c r="D27" s="2" t="s">
        <v>26</v>
      </c>
      <c r="E27" s="2" t="s">
        <v>15</v>
      </c>
      <c r="G27" s="42" t="str">
        <f>_xll.RegReplace($B$16,D27,E27,B27)</f>
        <v>^ @Ch^r^cter 123 Group Ex^mple?</v>
      </c>
      <c r="O27" s="22" t="s">
        <v>220</v>
      </c>
      <c r="P27" s="34" t="s">
        <v>221</v>
      </c>
      <c r="Q27" s="35"/>
      <c r="S27" s="21" t="s">
        <v>252</v>
      </c>
      <c r="T27" s="32" t="s">
        <v>253</v>
      </c>
      <c r="U27" s="33"/>
      <c r="V27"/>
      <c r="Z27" s="21" t="s">
        <v>161</v>
      </c>
      <c r="AA27" s="24" t="s">
        <v>162</v>
      </c>
    </row>
    <row r="28" spans="2:27" ht="10" customHeight="1" x14ac:dyDescent="0.25">
      <c r="S28" s="22" t="s">
        <v>254</v>
      </c>
      <c r="T28" s="34" t="s">
        <v>255</v>
      </c>
      <c r="U28" s="35"/>
      <c r="V28"/>
      <c r="Z28" s="21" t="s">
        <v>163</v>
      </c>
      <c r="AA28" s="24" t="s">
        <v>164</v>
      </c>
    </row>
    <row r="29" spans="2:27" ht="10" customHeight="1" x14ac:dyDescent="0.25">
      <c r="O29" s="30" t="s">
        <v>56</v>
      </c>
      <c r="P29" s="36"/>
      <c r="Q29" s="31"/>
      <c r="V29"/>
      <c r="Z29" s="21" t="s">
        <v>165</v>
      </c>
      <c r="AA29" s="24" t="s">
        <v>166</v>
      </c>
    </row>
    <row r="30" spans="2:27" ht="10" customHeight="1" x14ac:dyDescent="0.25">
      <c r="B30" s="29" t="s">
        <v>27</v>
      </c>
      <c r="E30" s="7" t="b">
        <v>0</v>
      </c>
      <c r="F30" s="17"/>
      <c r="G30" s="42" t="str">
        <f>_xll.RegReplace(B30,B31,B32,E30)</f>
        <v>@ a12B @ a12b</v>
      </c>
      <c r="O30" s="19" t="s">
        <v>31</v>
      </c>
      <c r="P30" s="37" t="s">
        <v>46</v>
      </c>
      <c r="Q30" s="38"/>
      <c r="S30" s="30" t="s">
        <v>227</v>
      </c>
      <c r="T30" s="36"/>
      <c r="U30" s="31"/>
      <c r="V30"/>
      <c r="Z30" s="21" t="s">
        <v>167</v>
      </c>
      <c r="AA30" s="24" t="s">
        <v>168</v>
      </c>
    </row>
    <row r="31" spans="2:27" ht="10" customHeight="1" x14ac:dyDescent="0.25">
      <c r="B31" t="s">
        <v>28</v>
      </c>
      <c r="F31" s="17"/>
      <c r="O31" s="20" t="s">
        <v>268</v>
      </c>
      <c r="P31" s="39" t="s">
        <v>47</v>
      </c>
      <c r="Q31" s="40"/>
      <c r="S31" s="19" t="s">
        <v>102</v>
      </c>
      <c r="T31" s="37" t="s">
        <v>103</v>
      </c>
      <c r="U31" s="38"/>
      <c r="V31"/>
      <c r="Z31" s="21" t="s">
        <v>169</v>
      </c>
      <c r="AA31" s="24" t="s">
        <v>170</v>
      </c>
    </row>
    <row r="32" spans="2:27" ht="10" customHeight="1" x14ac:dyDescent="0.25">
      <c r="B32" t="s">
        <v>29</v>
      </c>
      <c r="O32" s="21" t="s">
        <v>269</v>
      </c>
      <c r="P32" s="32" t="s">
        <v>48</v>
      </c>
      <c r="Q32" s="33"/>
      <c r="S32" s="20" t="s">
        <v>104</v>
      </c>
      <c r="T32" s="39" t="s">
        <v>105</v>
      </c>
      <c r="U32" s="40"/>
      <c r="V32"/>
      <c r="Z32" s="21" t="s">
        <v>171</v>
      </c>
      <c r="AA32" s="24" t="s">
        <v>172</v>
      </c>
    </row>
    <row r="33" spans="8:27" ht="10" customHeight="1" x14ac:dyDescent="0.25">
      <c r="H33"/>
      <c r="I33"/>
      <c r="J33"/>
      <c r="K33"/>
      <c r="L33"/>
      <c r="O33" s="21" t="s">
        <v>14</v>
      </c>
      <c r="P33" s="32" t="s">
        <v>49</v>
      </c>
      <c r="Q33" s="33"/>
      <c r="S33" s="21" t="s">
        <v>106</v>
      </c>
      <c r="T33" s="32" t="s">
        <v>107</v>
      </c>
      <c r="U33" s="33"/>
      <c r="V33"/>
      <c r="Z33" s="21" t="s">
        <v>173</v>
      </c>
      <c r="AA33" s="24" t="s">
        <v>174</v>
      </c>
    </row>
    <row r="34" spans="8:27" ht="10" customHeight="1" x14ac:dyDescent="0.25">
      <c r="H34"/>
      <c r="I34"/>
      <c r="J34"/>
      <c r="K34"/>
      <c r="L34"/>
      <c r="O34" s="21" t="s">
        <v>16</v>
      </c>
      <c r="P34" s="32" t="s">
        <v>50</v>
      </c>
      <c r="Q34" s="33"/>
      <c r="S34" s="21" t="s">
        <v>108</v>
      </c>
      <c r="T34" s="32" t="s">
        <v>109</v>
      </c>
      <c r="U34" s="33"/>
      <c r="V34"/>
      <c r="Z34" s="21" t="s">
        <v>175</v>
      </c>
      <c r="AA34" s="24" t="s">
        <v>176</v>
      </c>
    </row>
    <row r="35" spans="8:27" ht="10" customHeight="1" x14ac:dyDescent="0.25">
      <c r="H35"/>
      <c r="I35"/>
      <c r="J35"/>
      <c r="K35"/>
      <c r="L35"/>
      <c r="O35" s="21" t="s">
        <v>18</v>
      </c>
      <c r="P35" s="32" t="s">
        <v>51</v>
      </c>
      <c r="Q35" s="33"/>
      <c r="S35" s="21" t="s">
        <v>110</v>
      </c>
      <c r="T35" s="32" t="s">
        <v>111</v>
      </c>
      <c r="U35" s="33"/>
      <c r="V35"/>
      <c r="Z35" s="21" t="s">
        <v>177</v>
      </c>
      <c r="AA35" s="24" t="s">
        <v>178</v>
      </c>
    </row>
    <row r="36" spans="8:27" ht="10" customHeight="1" x14ac:dyDescent="0.25">
      <c r="H36"/>
      <c r="I36"/>
      <c r="J36"/>
      <c r="K36"/>
      <c r="L36"/>
      <c r="O36" s="21" t="s">
        <v>19</v>
      </c>
      <c r="P36" s="32" t="s">
        <v>52</v>
      </c>
      <c r="Q36" s="33"/>
      <c r="S36" s="21" t="s">
        <v>112</v>
      </c>
      <c r="T36" s="32" t="s">
        <v>113</v>
      </c>
      <c r="U36" s="33"/>
      <c r="V36"/>
      <c r="Z36" s="21" t="s">
        <v>179</v>
      </c>
      <c r="AA36" s="24" t="s">
        <v>180</v>
      </c>
    </row>
    <row r="37" spans="8:27" ht="10" customHeight="1" x14ac:dyDescent="0.25">
      <c r="H37"/>
      <c r="I37"/>
      <c r="J37"/>
      <c r="K37"/>
      <c r="L37"/>
      <c r="O37" s="21" t="s">
        <v>17</v>
      </c>
      <c r="P37" s="32" t="s">
        <v>53</v>
      </c>
      <c r="Q37" s="33"/>
      <c r="S37" s="21" t="s">
        <v>114</v>
      </c>
      <c r="T37" s="32" t="s">
        <v>115</v>
      </c>
      <c r="U37" s="33"/>
      <c r="V37"/>
      <c r="Z37" s="21" t="s">
        <v>181</v>
      </c>
      <c r="AA37" s="24" t="s">
        <v>182</v>
      </c>
    </row>
    <row r="38" spans="8:27" ht="10" customHeight="1" x14ac:dyDescent="0.25">
      <c r="H38"/>
      <c r="I38"/>
      <c r="J38"/>
      <c r="K38"/>
      <c r="L38"/>
      <c r="O38" s="22" t="s">
        <v>54</v>
      </c>
      <c r="P38" s="34" t="s">
        <v>55</v>
      </c>
      <c r="Q38" s="35"/>
      <c r="S38" s="21" t="s">
        <v>116</v>
      </c>
      <c r="T38" s="32" t="s">
        <v>117</v>
      </c>
      <c r="U38" s="33"/>
      <c r="V38"/>
      <c r="Z38" s="21" t="s">
        <v>183</v>
      </c>
      <c r="AA38" s="24" t="s">
        <v>184</v>
      </c>
    </row>
    <row r="39" spans="8:27" ht="10" customHeight="1" x14ac:dyDescent="0.25">
      <c r="H39"/>
      <c r="I39"/>
      <c r="J39"/>
      <c r="K39"/>
      <c r="L39"/>
      <c r="S39" s="22" t="s">
        <v>118</v>
      </c>
      <c r="T39" s="34" t="s">
        <v>119</v>
      </c>
      <c r="U39" s="35"/>
      <c r="V39"/>
      <c r="Z39" s="21" t="s">
        <v>185</v>
      </c>
      <c r="AA39" s="24" t="s">
        <v>186</v>
      </c>
    </row>
    <row r="40" spans="8:27" ht="10" customHeight="1" x14ac:dyDescent="0.25">
      <c r="H40"/>
      <c r="I40"/>
      <c r="J40"/>
      <c r="K40"/>
      <c r="L40"/>
      <c r="O40" s="30" t="s">
        <v>100</v>
      </c>
      <c r="P40" s="36"/>
      <c r="Q40" s="31"/>
      <c r="V40"/>
      <c r="Z40" s="22" t="s">
        <v>187</v>
      </c>
      <c r="AA40" s="25" t="s">
        <v>188</v>
      </c>
    </row>
    <row r="41" spans="8:27" ht="10" customHeight="1" x14ac:dyDescent="0.2">
      <c r="H41"/>
      <c r="I41"/>
      <c r="J41"/>
      <c r="K41"/>
      <c r="L41"/>
      <c r="O41" s="19" t="s">
        <v>31</v>
      </c>
      <c r="P41" s="37" t="s">
        <v>96</v>
      </c>
      <c r="Q41" s="38"/>
      <c r="V41"/>
    </row>
    <row r="42" spans="8:27" ht="10" customHeight="1" x14ac:dyDescent="0.25">
      <c r="H42"/>
      <c r="I42"/>
      <c r="J42"/>
      <c r="K42"/>
      <c r="L42"/>
      <c r="O42" s="20" t="s">
        <v>97</v>
      </c>
      <c r="P42" s="39" t="s">
        <v>98</v>
      </c>
      <c r="Q42" s="40"/>
    </row>
    <row r="43" spans="8:27" ht="10" customHeight="1" x14ac:dyDescent="0.25">
      <c r="H43"/>
      <c r="I43"/>
      <c r="J43"/>
      <c r="K43"/>
      <c r="L43"/>
      <c r="O43" s="22" t="s">
        <v>270</v>
      </c>
      <c r="P43" s="34" t="s">
        <v>99</v>
      </c>
      <c r="Q43" s="35"/>
    </row>
    <row r="44" spans="8:27" ht="10" customHeight="1" x14ac:dyDescent="0.2">
      <c r="H44"/>
      <c r="I44"/>
      <c r="J44"/>
      <c r="K44"/>
      <c r="L44"/>
    </row>
    <row r="45" spans="8:27" ht="10" customHeight="1" x14ac:dyDescent="0.2">
      <c r="H45"/>
      <c r="I45"/>
      <c r="J45"/>
      <c r="K45"/>
      <c r="L45"/>
    </row>
    <row r="46" spans="8:27" ht="10" customHeight="1" x14ac:dyDescent="0.2">
      <c r="H46"/>
      <c r="I46"/>
      <c r="J46"/>
      <c r="K46"/>
      <c r="L46"/>
    </row>
    <row r="47" spans="8:27" ht="10" customHeight="1" x14ac:dyDescent="0.2">
      <c r="H47"/>
      <c r="I47"/>
      <c r="J47"/>
      <c r="K47"/>
      <c r="L47"/>
    </row>
    <row r="48" spans="8:27" ht="10" customHeight="1" x14ac:dyDescent="0.2">
      <c r="H48"/>
      <c r="I48"/>
      <c r="J48"/>
      <c r="K48"/>
      <c r="L48"/>
    </row>
    <row r="49" spans="8:12" ht="10" customHeight="1" x14ac:dyDescent="0.2">
      <c r="H49"/>
      <c r="I49"/>
      <c r="J49"/>
      <c r="K49"/>
      <c r="L49"/>
    </row>
    <row r="50" spans="8:12" ht="10" customHeight="1" x14ac:dyDescent="0.2">
      <c r="H50"/>
      <c r="I50"/>
      <c r="J50"/>
      <c r="K50"/>
      <c r="L50"/>
    </row>
    <row r="51" spans="8:12" ht="10" customHeight="1" x14ac:dyDescent="0.2">
      <c r="H51"/>
      <c r="I51"/>
      <c r="J51"/>
      <c r="K51"/>
      <c r="L51"/>
    </row>
    <row r="52" spans="8:12" ht="10" customHeight="1" x14ac:dyDescent="0.2">
      <c r="H52"/>
      <c r="I52"/>
      <c r="J52"/>
      <c r="K52"/>
      <c r="L52"/>
    </row>
    <row r="53" spans="8:12" ht="10" customHeight="1" x14ac:dyDescent="0.2">
      <c r="H53"/>
      <c r="I53"/>
      <c r="J53"/>
      <c r="K53"/>
      <c r="L53"/>
    </row>
    <row r="54" spans="8:12" ht="10" customHeight="1" x14ac:dyDescent="0.2">
      <c r="H54"/>
      <c r="I54"/>
      <c r="J54"/>
      <c r="K54"/>
      <c r="L54"/>
    </row>
    <row r="55" spans="8:12" ht="10" customHeight="1" x14ac:dyDescent="0.2">
      <c r="H55"/>
      <c r="I55"/>
      <c r="J55"/>
      <c r="K55"/>
      <c r="L55"/>
    </row>
    <row r="56" spans="8:12" ht="10" customHeight="1" x14ac:dyDescent="0.2">
      <c r="H56"/>
      <c r="I56"/>
      <c r="J56"/>
      <c r="K56"/>
      <c r="L56"/>
    </row>
    <row r="57" spans="8:12" ht="10" customHeight="1" x14ac:dyDescent="0.2">
      <c r="H57"/>
      <c r="I57"/>
      <c r="J57"/>
      <c r="K57"/>
      <c r="L57"/>
    </row>
    <row r="58" spans="8:12" ht="10" customHeight="1" x14ac:dyDescent="0.2">
      <c r="H58"/>
      <c r="I58"/>
      <c r="J58"/>
      <c r="K58"/>
      <c r="L58"/>
    </row>
    <row r="59" spans="8:12" ht="10" customHeight="1" x14ac:dyDescent="0.2">
      <c r="H59"/>
      <c r="I59"/>
      <c r="J59"/>
      <c r="K59"/>
      <c r="L59"/>
    </row>
    <row r="60" spans="8:12" ht="10" customHeight="1" x14ac:dyDescent="0.2">
      <c r="H60"/>
      <c r="I60"/>
      <c r="J60"/>
      <c r="K60"/>
      <c r="L60"/>
    </row>
    <row r="61" spans="8:12" ht="10" customHeight="1" x14ac:dyDescent="0.2">
      <c r="H61"/>
      <c r="I61"/>
      <c r="J61"/>
      <c r="K61"/>
      <c r="L61"/>
    </row>
    <row r="62" spans="8:12" ht="10" customHeight="1" x14ac:dyDescent="0.2">
      <c r="H62"/>
      <c r="I62"/>
      <c r="J62"/>
      <c r="K62"/>
      <c r="L62"/>
    </row>
    <row r="63" spans="8:12" ht="10" customHeight="1" x14ac:dyDescent="0.2">
      <c r="H63"/>
      <c r="I63"/>
      <c r="J63"/>
      <c r="K63"/>
      <c r="L63"/>
    </row>
    <row r="64" spans="8:12" ht="10" customHeight="1" x14ac:dyDescent="0.2">
      <c r="H64"/>
      <c r="I64"/>
      <c r="J64"/>
      <c r="K64"/>
      <c r="L64"/>
    </row>
    <row r="65" spans="8:12" ht="10" customHeight="1" x14ac:dyDescent="0.2">
      <c r="H65"/>
      <c r="I65"/>
      <c r="J65"/>
      <c r="K65"/>
      <c r="L65"/>
    </row>
    <row r="66" spans="8:12" ht="10" customHeight="1" x14ac:dyDescent="0.2">
      <c r="H66"/>
      <c r="I66"/>
      <c r="J66"/>
      <c r="K66"/>
      <c r="L66"/>
    </row>
    <row r="67" spans="8:12" ht="10" customHeight="1" x14ac:dyDescent="0.2">
      <c r="H67"/>
      <c r="I67"/>
      <c r="J67"/>
      <c r="K67"/>
      <c r="L67"/>
    </row>
    <row r="68" spans="8:12" ht="10" customHeight="1" x14ac:dyDescent="0.2">
      <c r="H68"/>
      <c r="I68"/>
      <c r="J68"/>
      <c r="K68"/>
      <c r="L68"/>
    </row>
    <row r="69" spans="8:12" ht="10" customHeight="1" x14ac:dyDescent="0.2">
      <c r="H69"/>
      <c r="I69"/>
      <c r="J69"/>
      <c r="K69"/>
      <c r="L69"/>
    </row>
    <row r="70" spans="8:12" ht="10" customHeight="1" x14ac:dyDescent="0.2">
      <c r="H70"/>
      <c r="I70"/>
      <c r="J70"/>
      <c r="K70"/>
      <c r="L70"/>
    </row>
    <row r="71" spans="8:12" ht="10" customHeight="1" x14ac:dyDescent="0.2">
      <c r="H71"/>
      <c r="I71"/>
      <c r="J71"/>
      <c r="K71"/>
      <c r="L71"/>
    </row>
  </sheetData>
  <mergeCells count="60">
    <mergeCell ref="P8:Q8"/>
    <mergeCell ref="P9:Q9"/>
    <mergeCell ref="O11:Q11"/>
    <mergeCell ref="S2:U2"/>
    <mergeCell ref="O2:Q2"/>
    <mergeCell ref="P3:Q3"/>
    <mergeCell ref="P4:Q4"/>
    <mergeCell ref="P5:Q5"/>
    <mergeCell ref="P6:Q6"/>
    <mergeCell ref="P7:Q7"/>
    <mergeCell ref="P34:Q34"/>
    <mergeCell ref="P35:Q35"/>
    <mergeCell ref="O23:Q23"/>
    <mergeCell ref="P24:Q24"/>
    <mergeCell ref="P25:Q25"/>
    <mergeCell ref="P26:Q26"/>
    <mergeCell ref="P27:Q27"/>
    <mergeCell ref="O29:Q29"/>
    <mergeCell ref="T15:U15"/>
    <mergeCell ref="T16:U16"/>
    <mergeCell ref="P30:Q30"/>
    <mergeCell ref="P31:Q31"/>
    <mergeCell ref="P32:Q32"/>
    <mergeCell ref="P42:Q42"/>
    <mergeCell ref="P43:Q43"/>
    <mergeCell ref="S22:U22"/>
    <mergeCell ref="T23:U23"/>
    <mergeCell ref="T24:U24"/>
    <mergeCell ref="T25:U25"/>
    <mergeCell ref="O40:Q40"/>
    <mergeCell ref="P41:Q41"/>
    <mergeCell ref="S30:U30"/>
    <mergeCell ref="T31:U31"/>
    <mergeCell ref="T32:U32"/>
    <mergeCell ref="T33:U33"/>
    <mergeCell ref="P36:Q36"/>
    <mergeCell ref="P37:Q37"/>
    <mergeCell ref="P38:Q38"/>
    <mergeCell ref="P33:Q33"/>
    <mergeCell ref="T38:U38"/>
    <mergeCell ref="T39:U39"/>
    <mergeCell ref="T26:U26"/>
    <mergeCell ref="T27:U27"/>
    <mergeCell ref="T28:U28"/>
    <mergeCell ref="Z2:AA2"/>
    <mergeCell ref="T34:U34"/>
    <mergeCell ref="T35:U35"/>
    <mergeCell ref="T36:U36"/>
    <mergeCell ref="T37:U37"/>
    <mergeCell ref="W2:X2"/>
    <mergeCell ref="W14:X14"/>
    <mergeCell ref="W20:X20"/>
    <mergeCell ref="T17:U17"/>
    <mergeCell ref="T18:U18"/>
    <mergeCell ref="T19:U19"/>
    <mergeCell ref="T20:U20"/>
    <mergeCell ref="S11:U11"/>
    <mergeCell ref="T12:U12"/>
    <mergeCell ref="T13:U13"/>
    <mergeCell ref="T14:U14"/>
  </mergeCells>
  <dataValidations count="2">
    <dataValidation type="list" allowBlank="1" showInputMessage="1" showErrorMessage="1" sqref="E12 E5:E7 B18:B27 E30" xr:uid="{00000000-0002-0000-0400-000000000000}">
      <formula1>dvBool</formula1>
    </dataValidation>
    <dataValidation type="list" allowBlank="1" showInputMessage="1" showErrorMessage="1" sqref="E4" xr:uid="{00000000-0002-0000-0400-000001000000}">
      <formula1>"|,|!,|!;"</formula1>
    </dataValidation>
  </dataValidations>
  <pageMargins left="0.7" right="0.7" top="0.75" bottom="0.75" header="0.3" footer="0.3"/>
  <pageSetup paperSize="9" orientation="portrait" r:id="rId1"/>
  <ignoredErrors>
    <ignoredError sqref="G18:G27" emptyCellReferenc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2:M15"/>
  <sheetViews>
    <sheetView workbookViewId="0"/>
  </sheetViews>
  <sheetFormatPr defaultRowHeight="10" x14ac:dyDescent="0.2"/>
  <cols>
    <col min="1" max="1" width="3.77734375" customWidth="1"/>
    <col min="3" max="3" width="15.77734375" customWidth="1"/>
    <col min="5" max="6" width="8.88671875" style="17"/>
    <col min="7" max="7" width="15.77734375" customWidth="1"/>
    <col min="8" max="13" width="8.88671875" style="17"/>
    <col min="14" max="14" width="9.44140625" customWidth="1"/>
  </cols>
  <sheetData>
    <row r="2" spans="2:9" ht="10.5" x14ac:dyDescent="0.25">
      <c r="B2" s="2">
        <v>2000</v>
      </c>
      <c r="C2" t="e">
        <f>Code2Err(B2)</f>
        <v>#NULL!</v>
      </c>
      <c r="D2" s="2">
        <f>Err2Code(C2)</f>
        <v>2000</v>
      </c>
      <c r="E2" s="2">
        <f>ERROR.TYPE(C2)</f>
        <v>1</v>
      </c>
      <c r="F2" s="2">
        <f>ERROR.TYPE(G2)</f>
        <v>1</v>
      </c>
      <c r="G2" t="e">
        <f>(G1 G2)</f>
        <v>#NULL!</v>
      </c>
      <c r="I2" s="4" t="s">
        <v>11</v>
      </c>
    </row>
    <row r="3" spans="2:9" x14ac:dyDescent="0.2">
      <c r="B3" s="2">
        <v>2007</v>
      </c>
      <c r="C3" t="e">
        <f t="shared" ref="C3:C8" si="0">Code2Err(B3)</f>
        <v>#DIV/0!</v>
      </c>
      <c r="D3" s="2">
        <f t="shared" ref="D3:D15" si="1">Err2Code(C3)</f>
        <v>2007</v>
      </c>
      <c r="E3" s="2">
        <f t="shared" ref="E3:F15" si="2">ERROR.TYPE(C3)</f>
        <v>2</v>
      </c>
      <c r="F3" s="2">
        <f t="shared" ref="F3:F15" si="3">ERROR.TYPE(G3)</f>
        <v>2</v>
      </c>
      <c r="G3" t="e">
        <f>1/0</f>
        <v>#DIV/0!</v>
      </c>
      <c r="I3" s="5" t="b">
        <v>1</v>
      </c>
    </row>
    <row r="4" spans="2:9" x14ac:dyDescent="0.2">
      <c r="B4" s="2">
        <v>2015</v>
      </c>
      <c r="C4" t="e">
        <f t="shared" si="0"/>
        <v>#VALUE!</v>
      </c>
      <c r="D4" s="2">
        <f t="shared" si="1"/>
        <v>2015</v>
      </c>
      <c r="E4" s="2">
        <f t="shared" si="2"/>
        <v>3</v>
      </c>
      <c r="F4" s="2">
        <f t="shared" si="3"/>
        <v>3</v>
      </c>
      <c r="G4" s="41" t="e">
        <f>SQRT("A")</f>
        <v>#VALUE!</v>
      </c>
      <c r="I4" s="6" t="b">
        <v>0</v>
      </c>
    </row>
    <row r="5" spans="2:9" x14ac:dyDescent="0.2">
      <c r="B5" s="2">
        <v>2023</v>
      </c>
      <c r="C5" t="e">
        <f t="shared" si="0"/>
        <v>#REF!</v>
      </c>
      <c r="D5" s="2">
        <f t="shared" si="1"/>
        <v>2023</v>
      </c>
      <c r="E5" s="2">
        <f t="shared" si="2"/>
        <v>4</v>
      </c>
      <c r="F5" s="2">
        <f t="shared" si="3"/>
        <v>4</v>
      </c>
      <c r="G5" s="1" t="e">
        <v>#REF!</v>
      </c>
    </row>
    <row r="6" spans="2:9" x14ac:dyDescent="0.2">
      <c r="B6" s="2">
        <v>2029</v>
      </c>
      <c r="C6" t="e">
        <f t="shared" si="0"/>
        <v>#NAME?</v>
      </c>
      <c r="D6" s="2">
        <f t="shared" si="1"/>
        <v>2029</v>
      </c>
      <c r="E6" s="2">
        <f t="shared" si="2"/>
        <v>5</v>
      </c>
      <c r="F6" s="2">
        <f t="shared" si="3"/>
        <v>5</v>
      </c>
      <c r="G6" t="e">
        <f>GINO</f>
        <v>#NAME?</v>
      </c>
    </row>
    <row r="7" spans="2:9" x14ac:dyDescent="0.2">
      <c r="B7" s="2">
        <v>2036</v>
      </c>
      <c r="C7" t="e">
        <f t="shared" si="0"/>
        <v>#NUM!</v>
      </c>
      <c r="D7" s="2">
        <f t="shared" si="1"/>
        <v>2036</v>
      </c>
      <c r="E7" s="2">
        <f t="shared" si="2"/>
        <v>6</v>
      </c>
      <c r="F7" s="2">
        <f t="shared" si="3"/>
        <v>6</v>
      </c>
      <c r="G7" t="e">
        <f>LN(-1)</f>
        <v>#NUM!</v>
      </c>
    </row>
    <row r="8" spans="2:9" x14ac:dyDescent="0.2">
      <c r="B8" s="2">
        <v>2042</v>
      </c>
      <c r="C8" t="e">
        <f t="shared" si="0"/>
        <v>#N/A</v>
      </c>
      <c r="D8" s="2">
        <f t="shared" si="1"/>
        <v>2042</v>
      </c>
      <c r="E8" s="2">
        <f t="shared" si="2"/>
        <v>7</v>
      </c>
      <c r="F8" s="2">
        <f t="shared" si="3"/>
        <v>7</v>
      </c>
      <c r="G8" t="e">
        <f>NA()</f>
        <v>#N/A</v>
      </c>
    </row>
    <row r="9" spans="2:9" x14ac:dyDescent="0.2">
      <c r="B9" s="2">
        <v>2043</v>
      </c>
      <c r="C9" t="e">
        <f>Code2Err(B9)</f>
        <v>#N/A</v>
      </c>
      <c r="D9" s="2">
        <f t="shared" si="1"/>
        <v>2043</v>
      </c>
      <c r="E9" s="2">
        <f t="shared" si="2"/>
        <v>8</v>
      </c>
      <c r="F9" s="2">
        <f t="shared" si="3"/>
        <v>8</v>
      </c>
      <c r="G9" s="1" t="e">
        <v>#N/A</v>
      </c>
    </row>
    <row r="10" spans="2:9" x14ac:dyDescent="0.2">
      <c r="B10" s="2">
        <v>2045</v>
      </c>
      <c r="C10" s="17" t="e">
        <f>Code2Err(B10)</f>
      </c>
      <c r="D10" s="2">
        <f t="shared" si="1"/>
        <v>2045</v>
      </c>
      <c r="E10" s="2">
        <f t="shared" si="2"/>
        <v>0</v>
      </c>
      <c r="F10" s="2" t="e">
        <f t="shared" si="3"/>
        <v>#N/A</v>
      </c>
    </row>
    <row r="11" spans="2:9" x14ac:dyDescent="0.2">
      <c r="B11" s="2">
        <v>2046</v>
      </c>
      <c r="C11" s="17" t="e">
        <f>Code2Err(B11)</f>
      </c>
      <c r="D11" s="2">
        <f t="shared" si="1"/>
        <v>2046</v>
      </c>
      <c r="E11" s="2">
        <f t="shared" si="2"/>
        <v>0</v>
      </c>
      <c r="F11" s="2" t="e">
        <f t="shared" si="3"/>
        <v>#N/A</v>
      </c>
    </row>
    <row r="12" spans="2:9" x14ac:dyDescent="0.2">
      <c r="B12" s="2">
        <v>2047</v>
      </c>
      <c r="C12" s="17" t="e">
        <f>Code2Err(B12)</f>
      </c>
      <c r="D12" s="2">
        <f t="shared" si="1"/>
        <v>2047</v>
      </c>
      <c r="E12" s="2">
        <f t="shared" si="2"/>
        <v>0</v>
      </c>
      <c r="F12" s="2" t="e">
        <f t="shared" si="3"/>
        <v>#N/A</v>
      </c>
    </row>
    <row r="13" spans="2:9" x14ac:dyDescent="0.2">
      <c r="B13" s="2">
        <v>2048</v>
      </c>
      <c r="C13" s="17" t="e">
        <f>Code2Err(B13)</f>
      </c>
      <c r="D13" s="2">
        <f t="shared" si="1"/>
        <v>2048</v>
      </c>
      <c r="E13" s="2">
        <f t="shared" si="2"/>
        <v>0</v>
      </c>
      <c r="F13" s="2" t="e">
        <f t="shared" si="3"/>
        <v>#N/A</v>
      </c>
    </row>
    <row r="14" spans="2:9" x14ac:dyDescent="0.2">
      <c r="B14" s="2">
        <v>2049</v>
      </c>
      <c r="C14" s="17" t="e">
        <f>Code2Err(B14)</f>
      </c>
      <c r="D14" s="2">
        <f t="shared" si="1"/>
        <v>2049</v>
      </c>
      <c r="E14" s="2">
        <f t="shared" si="2"/>
        <v>0</v>
      </c>
      <c r="F14" s="2" t="e">
        <f t="shared" si="3"/>
        <v>#N/A</v>
      </c>
    </row>
    <row r="15" spans="2:9" x14ac:dyDescent="0.2">
      <c r="B15" s="2">
        <v>2050</v>
      </c>
      <c r="C15" s="17" t="e">
        <f>Code2Err(B15)</f>
      </c>
      <c r="D15" s="2">
        <f t="shared" si="1"/>
        <v>2050</v>
      </c>
      <c r="E15" s="2">
        <f t="shared" si="2"/>
        <v>0</v>
      </c>
      <c r="F15" s="2" t="e">
        <f t="shared" si="3"/>
        <v>#N/A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(Not)Unique</vt:lpstr>
      <vt:lpstr>FilterRange</vt:lpstr>
      <vt:lpstr>MatchAll</vt:lpstr>
      <vt:lpstr>H-V-Cat</vt:lpstr>
      <vt:lpstr>Strings</vt:lpstr>
      <vt:lpstr>Errors</vt:lpstr>
      <vt:lpstr>dvBool</vt:lpstr>
    </vt:vector>
  </TitlesOfParts>
  <Company>Banca IMI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Targetti</dc:creator>
  <cp:lastModifiedBy>Federico Targetti</cp:lastModifiedBy>
  <dcterms:created xsi:type="dcterms:W3CDTF">2017-10-05T07:59:21Z</dcterms:created>
  <dcterms:modified xsi:type="dcterms:W3CDTF">2019-04-16T15:55:14Z</dcterms:modified>
</cp:coreProperties>
</file>