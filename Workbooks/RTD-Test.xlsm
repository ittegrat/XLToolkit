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NET_Projects\XLToolkit\Workbooks\"/>
    </mc:Choice>
  </mc:AlternateContent>
  <xr:revisionPtr revIDLastSave="0" documentId="13_ncr:1_{558B92AA-B5E0-4DC3-B533-A468635D0F88}" xr6:coauthVersionLast="45" xr6:coauthVersionMax="45" xr10:uidLastSave="{00000000-0000-0000-0000-000000000000}"/>
  <bookViews>
    <workbookView xWindow="1755" yWindow="360" windowWidth="31350" windowHeight="15300" xr2:uid="{1822CE71-A553-4C74-A9DA-C36CA1904CAC}"/>
  </bookViews>
  <sheets>
    <sheet name="Sheet1" sheetId="2" r:id="rId1"/>
  </sheets>
  <functionGroups builtInGroupCount="19"/>
  <definedNames>
    <definedName name="Throttle">Sheet1!$I$29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3" i="2" a="1"/>
  <c r="B3" i="2" s="1"/>
  <c r="E2" i="2"/>
  <c r="F2" i="2" s="1"/>
  <c r="G2" i="2" s="1"/>
  <c r="H2" i="2" s="1"/>
  <c r="I2" i="2" s="1"/>
  <c r="J2" i="2" s="1"/>
  <c r="K2" i="2" s="1"/>
  <c r="L2" i="2" s="1"/>
  <c r="M2" i="2" s="1"/>
  <c r="D4" i="2"/>
  <c r="D5" i="2"/>
  <c r="D6" i="2"/>
  <c r="E7" i="2"/>
  <c r="D8" i="2"/>
  <c r="D9" i="2"/>
  <c r="D10" i="2"/>
  <c r="E11" i="2"/>
  <c r="D12" i="2"/>
  <c r="D3" i="2"/>
  <c r="Q3" i="2" a="1"/>
  <c r="Q4" i="2" a="1"/>
  <c r="Q5" i="2" a="1"/>
  <c r="Q6" i="2" a="1"/>
  <c r="Q7" i="2" a="1"/>
  <c r="Q8" i="2" a="1"/>
  <c r="Q9" i="2" a="1"/>
  <c r="Q10" i="2" a="1"/>
  <c r="Q11" i="2" a="1"/>
  <c r="Q12" i="2" a="1"/>
  <c r="R4" i="2" a="1"/>
  <c r="R8" i="2" a="1"/>
  <c r="R10" i="2" a="1"/>
  <c r="R12" i="2" a="1"/>
  <c r="R3" i="2" a="1"/>
  <c r="R5" i="2" a="1"/>
  <c r="R6" i="2" a="1"/>
  <c r="R7" i="2" a="1"/>
  <c r="R9" i="2" a="1"/>
  <c r="R11" i="2" a="1"/>
  <c r="P4" i="2" a="1"/>
  <c r="P6" i="2" a="1"/>
  <c r="P8" i="2" a="1"/>
  <c r="P10" i="2" a="1"/>
  <c r="P12" i="2" a="1"/>
  <c r="P7" i="2" a="1"/>
  <c r="P5" i="2" a="1"/>
  <c r="P9" i="2" a="1"/>
  <c r="P11" i="2" a="1"/>
  <c r="P3" i="2" a="1"/>
  <c r="D15" i="2" l="1"/>
  <c r="D21" i="2"/>
  <c r="D17" i="2"/>
  <c r="D24" i="2"/>
  <c r="D20" i="2"/>
  <c r="D16" i="2"/>
  <c r="D22" i="2"/>
  <c r="D18" i="2"/>
  <c r="R11" i="2"/>
  <c r="R9" i="2"/>
  <c r="R7" i="2"/>
  <c r="R6" i="2"/>
  <c r="R5" i="2"/>
  <c r="R3" i="2"/>
  <c r="R12" i="2"/>
  <c r="R10" i="2"/>
  <c r="R8" i="2"/>
  <c r="R4" i="2"/>
  <c r="Q12" i="2"/>
  <c r="Q11" i="2"/>
  <c r="Q10" i="2"/>
  <c r="Q9" i="2"/>
  <c r="Q8" i="2"/>
  <c r="Q7" i="2"/>
  <c r="Q6" i="2"/>
  <c r="Q5" i="2"/>
  <c r="Q4" i="2"/>
  <c r="Q3" i="2"/>
  <c r="P11" i="2"/>
  <c r="P9" i="2"/>
  <c r="P5" i="2"/>
  <c r="P7" i="2"/>
  <c r="P12" i="2"/>
  <c r="P10" i="2"/>
  <c r="P8" i="2"/>
  <c r="P6" i="2"/>
  <c r="P4" i="2"/>
  <c r="P3" i="2"/>
  <c r="D11" i="2"/>
  <c r="I10" i="2"/>
  <c r="L7" i="2"/>
  <c r="E6" i="2"/>
  <c r="G18" i="2" s="1"/>
  <c r="L11" i="2"/>
  <c r="E10" i="2"/>
  <c r="H7" i="2"/>
  <c r="K4" i="2"/>
  <c r="H11" i="2"/>
  <c r="K8" i="2"/>
  <c r="M6" i="2"/>
  <c r="G4" i="2"/>
  <c r="M10" i="2"/>
  <c r="G8" i="2"/>
  <c r="I6" i="2"/>
  <c r="K12" i="2"/>
  <c r="G12" i="2"/>
  <c r="J9" i="2"/>
  <c r="J5" i="2"/>
  <c r="F5" i="2"/>
  <c r="L3" i="2"/>
  <c r="H3" i="2"/>
  <c r="D7" i="2"/>
  <c r="J12" i="2"/>
  <c r="F12" i="2"/>
  <c r="K11" i="2"/>
  <c r="G11" i="2"/>
  <c r="L10" i="2"/>
  <c r="H10" i="2"/>
  <c r="M9" i="2"/>
  <c r="I9" i="2"/>
  <c r="E9" i="2"/>
  <c r="I21" i="2" s="1"/>
  <c r="J8" i="2"/>
  <c r="F8" i="2"/>
  <c r="K7" i="2"/>
  <c r="G7" i="2"/>
  <c r="L6" i="2"/>
  <c r="H6" i="2"/>
  <c r="M5" i="2"/>
  <c r="I5" i="2"/>
  <c r="E5" i="2"/>
  <c r="I17" i="2" s="1"/>
  <c r="J4" i="2"/>
  <c r="F4" i="2"/>
  <c r="K3" i="2"/>
  <c r="G3" i="2"/>
  <c r="M12" i="2"/>
  <c r="I12" i="2"/>
  <c r="E12" i="2"/>
  <c r="E24" i="2" s="1"/>
  <c r="J11" i="2"/>
  <c r="F11" i="2"/>
  <c r="K10" i="2"/>
  <c r="G10" i="2"/>
  <c r="L9" i="2"/>
  <c r="H9" i="2"/>
  <c r="M8" i="2"/>
  <c r="I8" i="2"/>
  <c r="E8" i="2"/>
  <c r="J7" i="2"/>
  <c r="F7" i="2"/>
  <c r="K6" i="2"/>
  <c r="G6" i="2"/>
  <c r="L5" i="2"/>
  <c r="H5" i="2"/>
  <c r="M4" i="2"/>
  <c r="I4" i="2"/>
  <c r="E4" i="2"/>
  <c r="J3" i="2"/>
  <c r="F3" i="2"/>
  <c r="F9" i="2"/>
  <c r="L12" i="2"/>
  <c r="H12" i="2"/>
  <c r="M11" i="2"/>
  <c r="I11" i="2"/>
  <c r="J10" i="2"/>
  <c r="F10" i="2"/>
  <c r="K9" i="2"/>
  <c r="G9" i="2"/>
  <c r="L8" i="2"/>
  <c r="H8" i="2"/>
  <c r="M7" i="2"/>
  <c r="I7" i="2"/>
  <c r="J6" i="2"/>
  <c r="F6" i="2"/>
  <c r="K5" i="2"/>
  <c r="G5" i="2"/>
  <c r="L4" i="2"/>
  <c r="H4" i="2"/>
  <c r="M3" i="2"/>
  <c r="I3" i="2"/>
  <c r="E3" i="2"/>
  <c r="O15" i="2" a="1"/>
  <c r="O20" i="2" a="1"/>
  <c r="O18" i="2" a="1"/>
  <c r="O24" i="2" a="1"/>
  <c r="O21" i="2" a="1"/>
  <c r="O16" i="2" a="1"/>
  <c r="O22" i="2" a="1"/>
  <c r="O17" i="2" a="1"/>
  <c r="T17" i="2" a="1"/>
  <c r="R18" i="2" a="1"/>
  <c r="T21" i="2" a="1"/>
  <c r="P24" i="2" a="1"/>
  <c r="L16" i="2" l="1"/>
  <c r="M21" i="2"/>
  <c r="K20" i="2"/>
  <c r="F22" i="2"/>
  <c r="I24" i="2"/>
  <c r="J24" i="2"/>
  <c r="H15" i="2"/>
  <c r="H20" i="2"/>
  <c r="G17" i="2"/>
  <c r="E18" i="2"/>
  <c r="K17" i="2"/>
  <c r="H17" i="2"/>
  <c r="P24" i="2"/>
  <c r="T21" i="2"/>
  <c r="R18" i="2"/>
  <c r="T17" i="2"/>
  <c r="O17" i="2"/>
  <c r="O22" i="2"/>
  <c r="O16" i="2"/>
  <c r="O21" i="2"/>
  <c r="O24" i="2"/>
  <c r="O18" i="2"/>
  <c r="O20" i="2"/>
  <c r="O15" i="2"/>
  <c r="I16" i="2"/>
  <c r="G16" i="2"/>
  <c r="I22" i="2"/>
  <c r="L20" i="2"/>
  <c r="J22" i="2"/>
  <c r="L15" i="2"/>
  <c r="G22" i="2"/>
  <c r="F23" i="2"/>
  <c r="J23" i="2"/>
  <c r="G23" i="2"/>
  <c r="K23" i="2"/>
  <c r="D23" i="2"/>
  <c r="H23" i="2"/>
  <c r="L23" i="2"/>
  <c r="E23" i="2"/>
  <c r="I23" i="2"/>
  <c r="M23" i="2"/>
  <c r="M16" i="2"/>
  <c r="M20" i="2"/>
  <c r="M24" i="2"/>
  <c r="F16" i="2"/>
  <c r="M17" i="2"/>
  <c r="J20" i="2"/>
  <c r="H22" i="2"/>
  <c r="F15" i="2"/>
  <c r="K16" i="2"/>
  <c r="I18" i="2"/>
  <c r="F21" i="2"/>
  <c r="M22" i="2"/>
  <c r="K15" i="2"/>
  <c r="H16" i="2"/>
  <c r="F18" i="2"/>
  <c r="G21" i="2"/>
  <c r="H24" i="2"/>
  <c r="H21" i="2"/>
  <c r="E16" i="2"/>
  <c r="F20" i="2"/>
  <c r="G15" i="2"/>
  <c r="L17" i="2"/>
  <c r="L21" i="2"/>
  <c r="M15" i="2"/>
  <c r="J16" i="2"/>
  <c r="H18" i="2"/>
  <c r="E21" i="2"/>
  <c r="L22" i="2"/>
  <c r="J15" i="2"/>
  <c r="F17" i="2"/>
  <c r="M18" i="2"/>
  <c r="J21" i="2"/>
  <c r="G24" i="2"/>
  <c r="J18" i="2"/>
  <c r="K21" i="2"/>
  <c r="L24" i="2"/>
  <c r="I15" i="2"/>
  <c r="E20" i="2"/>
  <c r="I20" i="2"/>
  <c r="F19" i="2"/>
  <c r="J19" i="2"/>
  <c r="G19" i="2"/>
  <c r="K19" i="2"/>
  <c r="D19" i="2"/>
  <c r="H19" i="2"/>
  <c r="L19" i="2"/>
  <c r="E19" i="2"/>
  <c r="I19" i="2"/>
  <c r="M19" i="2"/>
  <c r="K18" i="2"/>
  <c r="K22" i="2"/>
  <c r="E17" i="2"/>
  <c r="L18" i="2"/>
  <c r="F24" i="2"/>
  <c r="E15" i="2"/>
  <c r="J17" i="2"/>
  <c r="G20" i="2"/>
  <c r="E22" i="2"/>
  <c r="K24" i="2"/>
  <c r="N12" i="2"/>
  <c r="N4" i="2"/>
  <c r="N10" i="2"/>
  <c r="N9" i="2"/>
  <c r="N6" i="2"/>
  <c r="N8" i="2"/>
  <c r="N5" i="2"/>
  <c r="N11" i="2"/>
  <c r="N7" i="2"/>
  <c r="N3" i="2"/>
  <c r="W16" i="2" a="1"/>
  <c r="T24" i="2" a="1"/>
  <c r="R17" i="2" a="1"/>
  <c r="X21" i="2" a="1"/>
  <c r="U24" i="2" a="1"/>
  <c r="P18" i="2" a="1"/>
  <c r="V20" i="2" a="1"/>
  <c r="S15" i="2" a="1"/>
  <c r="V17" i="2" a="1"/>
  <c r="Q22" i="2" a="1"/>
  <c r="S20" i="2" a="1"/>
  <c r="S17" i="2" a="1"/>
  <c r="P35" i="2" a="1"/>
  <c r="O35" i="2" a="1"/>
  <c r="T16" i="2" a="1"/>
  <c r="U22" i="2" a="1"/>
  <c r="U23" i="2" a="1"/>
  <c r="S23" i="2" a="1"/>
  <c r="X23" i="2" a="1"/>
  <c r="Q16" i="2" a="1"/>
  <c r="Q15" i="2" a="1"/>
  <c r="X22" i="2" a="1"/>
  <c r="R21" i="2" a="1"/>
  <c r="Q20" i="2" a="1"/>
  <c r="X15" i="2" a="1"/>
  <c r="W22" i="2" a="1"/>
  <c r="U21" i="2" a="1"/>
  <c r="W24" i="2" a="1"/>
  <c r="Q19" i="2" a="1"/>
  <c r="O19" i="2" a="1"/>
  <c r="T19" i="2" a="1"/>
  <c r="P17" i="2" a="1"/>
  <c r="U17" i="2" a="1"/>
  <c r="T10" i="2" a="1"/>
  <c r="U10" i="2" a="1"/>
  <c r="S10" i="2" a="1"/>
  <c r="S5" i="2" a="1"/>
  <c r="U5" i="2" a="1"/>
  <c r="T5" i="2" a="1"/>
  <c r="S8" i="2" a="1"/>
  <c r="U8" i="2" a="1"/>
  <c r="T8" i="2" a="1"/>
  <c r="T32" i="2" a="1"/>
  <c r="O28" i="2" a="1"/>
  <c r="O27" i="2" a="1"/>
  <c r="O29" i="2" a="1"/>
  <c r="R16" i="2" a="1"/>
  <c r="W15" i="2" a="1"/>
  <c r="R23" i="2" a="1"/>
  <c r="W23" i="2" a="1"/>
  <c r="X16" i="2" a="1"/>
  <c r="X17" i="2" a="1"/>
  <c r="V16" i="2" a="1"/>
  <c r="V15" i="2" a="1"/>
  <c r="S24" i="2" a="1"/>
  <c r="R15" i="2" a="1"/>
  <c r="U16" i="2" a="1"/>
  <c r="U15" i="2" a="1"/>
  <c r="R24" i="2" a="1"/>
  <c r="T15" i="2" a="1"/>
  <c r="U19" i="2" a="1"/>
  <c r="S19" i="2" a="1"/>
  <c r="X19" i="2" a="1"/>
  <c r="W18" i="2" a="1"/>
  <c r="R20" i="2" a="1"/>
  <c r="U9" i="2" a="1"/>
  <c r="T9" i="2" a="1"/>
  <c r="S9" i="2" a="1"/>
  <c r="T11" i="2" a="1"/>
  <c r="S11" i="2" a="1"/>
  <c r="U11" i="2" a="1"/>
  <c r="U7" i="2" a="1"/>
  <c r="S7" i="2" a="1"/>
  <c r="T7" i="2" a="1"/>
  <c r="R29" i="2" a="1"/>
  <c r="T28" i="2" a="1"/>
  <c r="O32" i="2" a="1"/>
  <c r="O31" i="2" a="1"/>
  <c r="T22" i="2" a="1"/>
  <c r="R22" i="2" a="1"/>
  <c r="V23" i="2" a="1"/>
  <c r="P23" i="2" a="1"/>
  <c r="X20" i="2" a="1"/>
  <c r="U20" i="2" a="1"/>
  <c r="T18" i="2" a="1"/>
  <c r="S16" i="2" a="1"/>
  <c r="S21" i="2" a="1"/>
  <c r="W17" i="2" a="1"/>
  <c r="S18" i="2" a="1"/>
  <c r="Q17" i="2" a="1"/>
  <c r="U18" i="2" a="1"/>
  <c r="P20" i="2" a="1"/>
  <c r="R19" i="2" a="1"/>
  <c r="W19" i="2" a="1"/>
  <c r="V18" i="2" a="1"/>
  <c r="Q24" i="2" a="1"/>
  <c r="P22" i="2" a="1"/>
  <c r="T12" i="2" a="1"/>
  <c r="S12" i="2" a="1"/>
  <c r="U12" i="2" a="1"/>
  <c r="S6" i="2" a="1"/>
  <c r="T6" i="2" a="1"/>
  <c r="U6" i="2" a="1"/>
  <c r="T4" i="2" a="1"/>
  <c r="U4" i="2" a="1"/>
  <c r="S4" i="2" a="1"/>
  <c r="O33" i="2" a="1"/>
  <c r="O26" i="2" a="1"/>
  <c r="W20" i="2" a="1"/>
  <c r="Q23" i="2" a="1"/>
  <c r="O23" i="2" a="1"/>
  <c r="T23" i="2" a="1"/>
  <c r="X24" i="2" a="1"/>
  <c r="S22" i="2" a="1"/>
  <c r="Q21" i="2" a="1"/>
  <c r="Q18" i="2" a="1"/>
  <c r="P16" i="2" a="1"/>
  <c r="W21" i="2" a="1"/>
  <c r="P21" i="2" a="1"/>
  <c r="X18" i="2" a="1"/>
  <c r="V21" i="2" a="1"/>
  <c r="T20" i="2" a="1"/>
  <c r="V19" i="2" a="1"/>
  <c r="P19" i="2" a="1"/>
  <c r="V22" i="2" a="1"/>
  <c r="P15" i="2" a="1"/>
  <c r="V24" i="2" a="1"/>
  <c r="T3" i="2" a="1"/>
  <c r="S3" i="2" a="1"/>
  <c r="U3" i="2" a="1"/>
  <c r="S17" i="2" l="1"/>
  <c r="S20" i="2"/>
  <c r="Q22" i="2"/>
  <c r="V17" i="2"/>
  <c r="S15" i="2"/>
  <c r="V20" i="2"/>
  <c r="P18" i="2"/>
  <c r="U24" i="2"/>
  <c r="X21" i="2"/>
  <c r="R17" i="2"/>
  <c r="T24" i="2"/>
  <c r="W16" i="2"/>
  <c r="U3" i="2"/>
  <c r="S3" i="2"/>
  <c r="T3" i="2"/>
  <c r="V24" i="2"/>
  <c r="P15" i="2"/>
  <c r="V22" i="2"/>
  <c r="P19" i="2"/>
  <c r="V19" i="2"/>
  <c r="T20" i="2"/>
  <c r="V21" i="2"/>
  <c r="X18" i="2"/>
  <c r="P21" i="2"/>
  <c r="W21" i="2"/>
  <c r="P16" i="2"/>
  <c r="Q18" i="2"/>
  <c r="Q21" i="2"/>
  <c r="S22" i="2"/>
  <c r="X24" i="2"/>
  <c r="T23" i="2"/>
  <c r="O23" i="2"/>
  <c r="Q23" i="2"/>
  <c r="W20" i="2"/>
  <c r="O26" i="2"/>
  <c r="O33" i="2"/>
  <c r="S4" i="2"/>
  <c r="U4" i="2"/>
  <c r="T4" i="2"/>
  <c r="U6" i="2"/>
  <c r="T6" i="2"/>
  <c r="S6" i="2"/>
  <c r="U12" i="2"/>
  <c r="S12" i="2"/>
  <c r="T12" i="2"/>
  <c r="P22" i="2"/>
  <c r="Q24" i="2"/>
  <c r="V18" i="2"/>
  <c r="W19" i="2"/>
  <c r="R19" i="2"/>
  <c r="P20" i="2"/>
  <c r="U18" i="2"/>
  <c r="Q17" i="2"/>
  <c r="S18" i="2"/>
  <c r="W17" i="2"/>
  <c r="S21" i="2"/>
  <c r="S16" i="2"/>
  <c r="T18" i="2"/>
  <c r="U20" i="2"/>
  <c r="X20" i="2"/>
  <c r="P23" i="2"/>
  <c r="V23" i="2"/>
  <c r="R22" i="2"/>
  <c r="T22" i="2"/>
  <c r="O31" i="2"/>
  <c r="O32" i="2"/>
  <c r="T28" i="2"/>
  <c r="R29" i="2"/>
  <c r="T7" i="2"/>
  <c r="S7" i="2"/>
  <c r="U7" i="2"/>
  <c r="U11" i="2"/>
  <c r="S11" i="2"/>
  <c r="T11" i="2"/>
  <c r="S9" i="2"/>
  <c r="T9" i="2"/>
  <c r="U9" i="2"/>
  <c r="R20" i="2"/>
  <c r="W18" i="2"/>
  <c r="X19" i="2"/>
  <c r="S19" i="2"/>
  <c r="U19" i="2"/>
  <c r="T15" i="2"/>
  <c r="R24" i="2"/>
  <c r="U15" i="2"/>
  <c r="U16" i="2"/>
  <c r="R15" i="2"/>
  <c r="S24" i="2"/>
  <c r="V15" i="2"/>
  <c r="V16" i="2"/>
  <c r="X17" i="2"/>
  <c r="X16" i="2"/>
  <c r="W23" i="2"/>
  <c r="R23" i="2"/>
  <c r="W15" i="2"/>
  <c r="R16" i="2"/>
  <c r="O29" i="2"/>
  <c r="O27" i="2"/>
  <c r="O28" i="2"/>
  <c r="T32" i="2"/>
  <c r="T8" i="2"/>
  <c r="U8" i="2"/>
  <c r="S8" i="2"/>
  <c r="T5" i="2"/>
  <c r="U5" i="2"/>
  <c r="S5" i="2"/>
  <c r="S10" i="2"/>
  <c r="U10" i="2"/>
  <c r="T10" i="2"/>
  <c r="U17" i="2"/>
  <c r="P17" i="2"/>
  <c r="T19" i="2"/>
  <c r="O19" i="2"/>
  <c r="Q19" i="2"/>
  <c r="W24" i="2"/>
  <c r="U21" i="2"/>
  <c r="W22" i="2"/>
  <c r="X15" i="2"/>
  <c r="Q20" i="2"/>
  <c r="R21" i="2"/>
  <c r="X22" i="2"/>
  <c r="Q15" i="2"/>
  <c r="Q16" i="2"/>
  <c r="X23" i="2"/>
  <c r="S23" i="2"/>
  <c r="U23" i="2"/>
  <c r="U22" i="2"/>
  <c r="T16" i="2"/>
  <c r="O35" i="2"/>
  <c r="P35" i="2"/>
  <c r="S28" i="2" a="1"/>
  <c r="S26" i="2" a="1"/>
  <c r="X32" i="2" a="1"/>
  <c r="S31" i="2" a="1"/>
  <c r="V31" i="2" a="1"/>
  <c r="R28" i="2" a="1"/>
  <c r="Q33" i="2" a="1"/>
  <c r="P29" i="2" a="1"/>
  <c r="T35" i="2" a="1"/>
  <c r="V28" i="2" a="1"/>
  <c r="U35" i="2" a="1"/>
  <c r="W27" i="2" a="1"/>
  <c r="P26" i="2" a="1"/>
  <c r="T31" i="2" a="1"/>
  <c r="W32" i="2" a="1"/>
  <c r="S33" i="2" a="1"/>
  <c r="Q34" i="2" a="1"/>
  <c r="W30" i="2" a="1"/>
  <c r="Q28" i="2" a="1"/>
  <c r="S27" i="2" a="1"/>
  <c r="P34" i="2" a="1"/>
  <c r="W29" i="2" a="1"/>
  <c r="T26" i="2" a="1"/>
  <c r="R26" i="2" a="1"/>
  <c r="X28" i="2" a="1"/>
  <c r="W26" i="2" a="1"/>
  <c r="O30" i="2" a="1"/>
  <c r="X33" i="2" a="1"/>
  <c r="V33" i="2" a="1"/>
  <c r="V32" i="2" a="1"/>
  <c r="P27" i="2" a="1"/>
  <c r="X35" i="2" a="1"/>
  <c r="W31" i="2" a="1"/>
  <c r="P33" i="2" a="1"/>
  <c r="R30" i="2" a="1"/>
  <c r="S29" i="2" a="1"/>
  <c r="T29" i="2" a="1"/>
  <c r="V34" i="2" a="1"/>
  <c r="X30" i="2" a="1"/>
  <c r="R35" i="2" a="1"/>
  <c r="S35" i="2" a="1"/>
  <c r="X27" i="2" a="1"/>
  <c r="R27" i="2" a="1"/>
  <c r="U28" i="2" a="1"/>
  <c r="Q30" i="2" a="1"/>
  <c r="X26" i="2" a="1"/>
  <c r="Q26" i="2" a="1"/>
  <c r="U34" i="2" a="1"/>
  <c r="W35" i="2" a="1"/>
  <c r="Q27" i="2" a="1"/>
  <c r="P30" i="2" a="1"/>
  <c r="X29" i="2" a="1"/>
  <c r="Q29" i="2" a="1"/>
  <c r="T34" i="2" a="1"/>
  <c r="Q35" i="2" a="1"/>
  <c r="P31" i="2" a="1"/>
  <c r="W28" i="2" a="1"/>
  <c r="U31" i="2" a="1"/>
  <c r="R33" i="2" a="1"/>
  <c r="S30" i="2" a="1"/>
  <c r="U26" i="2" a="1"/>
  <c r="V26" i="2" a="1"/>
  <c r="W34" i="2" a="1"/>
  <c r="P28" i="2" a="1"/>
  <c r="Q31" i="2" a="1"/>
  <c r="U33" i="2" a="1"/>
  <c r="V35" i="2" a="1"/>
  <c r="V30" i="2" a="1"/>
  <c r="P32" i="2" a="1"/>
  <c r="Q32" i="2" a="1"/>
  <c r="O34" i="2" a="1"/>
  <c r="V29" i="2" a="1"/>
  <c r="U29" i="2" a="1"/>
  <c r="S32" i="2" a="1"/>
  <c r="X31" i="2" a="1"/>
  <c r="T33" i="2" a="1"/>
  <c r="R31" i="2" a="1"/>
  <c r="U30" i="2" a="1"/>
  <c r="U27" i="2" a="1"/>
  <c r="V27" i="2" a="1"/>
  <c r="R34" i="2" a="1"/>
  <c r="T30" i="2" a="1"/>
  <c r="U32" i="2" a="1"/>
  <c r="R32" i="2" a="1"/>
  <c r="X34" i="2" a="1"/>
  <c r="T27" i="2" a="1"/>
  <c r="W33" i="2" a="1"/>
  <c r="S34" i="2" a="1"/>
  <c r="W27" i="2" l="1"/>
  <c r="U35" i="2"/>
  <c r="V28" i="2"/>
  <c r="T35" i="2"/>
  <c r="P29" i="2"/>
  <c r="Q33" i="2"/>
  <c r="R28" i="2"/>
  <c r="V31" i="2"/>
  <c r="S31" i="2"/>
  <c r="X32" i="2"/>
  <c r="S26" i="2"/>
  <c r="S28" i="2"/>
  <c r="S34" i="2"/>
  <c r="W33" i="2"/>
  <c r="T27" i="2"/>
  <c r="X34" i="2"/>
  <c r="R32" i="2"/>
  <c r="U32" i="2"/>
  <c r="T30" i="2"/>
  <c r="R34" i="2"/>
  <c r="V27" i="2"/>
  <c r="U27" i="2"/>
  <c r="U30" i="2"/>
  <c r="R31" i="2"/>
  <c r="T33" i="2"/>
  <c r="X31" i="2"/>
  <c r="S32" i="2"/>
  <c r="U29" i="2"/>
  <c r="V29" i="2"/>
  <c r="O34" i="2"/>
  <c r="Q32" i="2"/>
  <c r="P32" i="2"/>
  <c r="V30" i="2"/>
  <c r="V35" i="2"/>
  <c r="U33" i="2"/>
  <c r="Q31" i="2"/>
  <c r="P28" i="2"/>
  <c r="W34" i="2"/>
  <c r="V26" i="2"/>
  <c r="U26" i="2"/>
  <c r="S30" i="2"/>
  <c r="R33" i="2"/>
  <c r="U31" i="2"/>
  <c r="W28" i="2"/>
  <c r="P31" i="2"/>
  <c r="Q35" i="2"/>
  <c r="T34" i="2"/>
  <c r="Q29" i="2"/>
  <c r="X29" i="2"/>
  <c r="P30" i="2"/>
  <c r="Q27" i="2"/>
  <c r="W35" i="2"/>
  <c r="U34" i="2"/>
  <c r="Q26" i="2"/>
  <c r="X26" i="2"/>
  <c r="Q30" i="2"/>
  <c r="U28" i="2"/>
  <c r="R27" i="2"/>
  <c r="X27" i="2"/>
  <c r="S35" i="2"/>
  <c r="R35" i="2"/>
  <c r="X30" i="2"/>
  <c r="V34" i="2"/>
  <c r="T29" i="2"/>
  <c r="S29" i="2"/>
  <c r="R30" i="2"/>
  <c r="P33" i="2"/>
  <c r="W31" i="2"/>
  <c r="X35" i="2"/>
  <c r="P27" i="2"/>
  <c r="V32" i="2"/>
  <c r="V33" i="2"/>
  <c r="X33" i="2"/>
  <c r="O30" i="2"/>
  <c r="W26" i="2"/>
  <c r="X28" i="2"/>
  <c r="R26" i="2"/>
  <c r="T26" i="2"/>
  <c r="W29" i="2"/>
  <c r="P34" i="2"/>
  <c r="S27" i="2"/>
  <c r="Q28" i="2"/>
  <c r="W30" i="2"/>
  <c r="Q34" i="2"/>
  <c r="S33" i="2"/>
  <c r="W32" i="2"/>
  <c r="T31" i="2"/>
  <c r="P26" i="2"/>
  <c r="M27" i="2" l="1"/>
  <c r="M28" i="2" a="1"/>
  <c r="M2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<sst xmlns="http://schemas.openxmlformats.org/spreadsheetml/2006/main" count="11" uniqueCount="11">
  <si>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2, 3, 5, 7, 11, 13, 17, 19, 23, 29, 31, 37, 41, 43, 47, 53, 59, 61, 67, 71, 73, 79, 83, 89, 97, 101, 103, 107, 109, 113, 127, 131, 137, 139, 149, 151, 157, 163, 167, 173, 179, 181, 191, 193, 197, 199, 211, 223, 227, 229, 233, 239, 241, 251, 257, 263, 269, 271, 277, 281, 283, 293, 307, 311, 313, 317, 331, 337, 347, 349, 353, 359, 367, 373, 379, 383, 389, 397, 401, 409, 419, 421, 431, 433, 439, 443, 449, 457, 461, 463, 467, 479, 487, 491, 499, 503, 509, 521, 523, 541, 547, 557, 563, 569, 571, 577, 587, 593, 599, 601, 607, 613, 617, 619, 631, 641, 643, 647, 653, 659, 661, 673, 677, 683, 691, 701, 709, 719, 727, 733, 739, 743, 751, 757, 761, 769, 773, 787, 797, 809, 811, 821, 823, 827, 829, 839, 853, 857, 859, 863, 877, 881, 883, 887, 907, 911, 919, 929, 937, 941, 947, 953, 967, 971, 977, 983, 991, 997, 1009, 1013, 1019, 1021, 1031, 1033, 1039, 1049, 1051, 1061, 1063, 1069, 1087, 1091, 1093, 1097, 1103, 1109, 1117, 1123, 1129, 1151, 1153, 1163, 1171, 1181, 1187, 1193, 1201, 1213, 1217, 1223, 1229, 1231, 1237, 1249, 1259, 1277, 1279, 1283, 1289, 1291, 1297, 1301, 1303, 1307, 1319, 1321, 1327, 1361, 1367, 1373, 1381, 1399, 1409, 1423, 1427, 1429, 1433, 1439, 1447, 1451, 1453, 1459, 1471, 1481, 1483, 1487, 1489, 1493, 1499, 1511, 1523, 1531, 1543, 1549, 1553, 1559, 1567, 1571, 1579, 1583, 1597, 1601, 1607, 1609, 1613, 1619, 1621, 1627, 1637, 1657, 1663, 1667, 1669, 1693, 1697, 1699, 1709, 1721, 1723, 1733, 1741, 1747, 1753, 1759, 1777, 1783, 1787, 1789, 1801, 1811, 1823, 1831, 1847, 1861, 1867, 1871, 1873, 1877, 1879, 1889, 1901, 1907, 1913, 1931, 1933, 1949, 1951, 1973, 1979, 1987, 1993, 1997, 1999</t>
  </si>
  <si>
    <t>PILNBIJMPWJQRJVCNXWRENDWTSJTOO</t>
  </si>
  <si>
    <t>HEKYHBLEETPIMEJIBCRABRNWPTGMLV</t>
  </si>
  <si>
    <t>OJZFTZSELGQNRQUDFGODGAMVJWUIBR</t>
  </si>
  <si>
    <t>CAQOZGPEIRZXJYJUJZAEZGFFUVKSZY</t>
  </si>
  <si>
    <t>FELVRVQQHPJMLXRKARGBVJRVVJZEFD</t>
  </si>
  <si>
    <t>UVDUMRECXUUXAMYVDAPXBCGHQDZVTL</t>
  </si>
  <si>
    <t>DJBJTWKJRDQCFGNDHSJRDLHZMGXEAG</t>
  </si>
  <si>
    <t>DGSQDYBUEUIQTTLEBTSRXVCBXUCCRG</t>
  </si>
  <si>
    <t>KVNNGUITONXEOEWPWOYHWDJMDZSYJK</t>
  </si>
  <si>
    <t>RPCVFHTULSGFSEQVKIVVQGMRTKQIWO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</si>
</sst>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2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b5f41b1147e46eb9ef99ee779d850e5">
      <tp>
        <v>44042.482914664353</v>
        <stp/>
        <stp>KVN.NGU</stp>
        <tr r="P23" s="2"/>
      </tp>
      <tp>
        <v>44042.482916168985</v>
        <stp/>
        <stp>DJB.JTW.KJR.DQC.FGN.DHS.JRD.LHZ</stp>
        <tr r="V21" s="2"/>
      </tp>
      <tp>
        <v>44042.482912939813</v>
        <stp/>
        <stp>OJZ.FTZ.SEL.GQN.RQU.DFG.ODG.AMV</stp>
        <tr r="V17" s="2"/>
      </tp>
      <tp>
        <v>44042.482915740744</v>
        <stp/>
        <stp>RPC.VFH</stp>
        <tr r="P24" s="2"/>
      </tp>
    </main>
    <main first="rtdsrv.6b5f41b1147e46eb9ef99ee779d850e5">
      <tp>
        <v>44042.482916168985</v>
        <stp/>
        <stp>UVD.UMR.ECX.UUX.AMY.VDA</stp>
        <tr r="T20" s="2"/>
      </tp>
    </main>
    <main first="rtdsrv.6b5f41b1147e46eb9ef99ee779d850e5">
      <tp>
        <v>44042.482915740744</v>
        <stp/>
        <stp>RPC.VFH.TUL.SGF.SEQ.VKI</stp>
        <tr r="T24" s="2"/>
      </tp>
      <tp>
        <v>44042.482912939813</v>
        <stp/>
        <stp>OJZ.FTZ.SEL.GQN.RQU.DFG.ODG.AMV.JWU.IBR</stp>
        <tr r="X17" s="2"/>
      </tp>
    </main>
    <main first="rtdsrv.6b5f41b1147e46eb9ef99ee779d850e5">
      <tp>
        <v>44042.482916168985</v>
        <stp/>
        <stp>DJB.JTW.KJR.DQC</stp>
        <tr r="R21" s="2"/>
      </tp>
    </main>
    <main first="rtdsrv.6b5f41b1147e46eb9ef99ee779d850e5">
      <tp>
        <v>44042.482916168985</v>
        <stp/>
        <stp>UVD.UMR</stp>
        <tr r="P20" s="2"/>
      </tp>
      <tp>
        <v>44042.482914664353</v>
        <stp/>
        <stp>KVN.NGU.ITO.NXE.OEW.PWO.YHW.DJM</stp>
        <tr r="V23" s="2"/>
      </tp>
    </main>
    <main first="rtdsrv.6b5f41b1147e46eb9ef99ee779d850e5">
      <tp>
        <v>44042.482916168985</v>
        <stp/>
        <stp>DJB.JTW.KJR.DQC.FGN.DHS</stp>
        <tr r="T21" s="2"/>
      </tp>
      <tp>
        <v>44042.482914270833</v>
        <stp/>
        <stp>PIL.NBI.JMP.WJQ</stp>
        <tr r="R15" s="2"/>
      </tp>
      <tp>
        <v>44042.482915740744</v>
        <stp/>
        <stp>RPC.VFH.TUL.SGF</stp>
        <tr r="R24" s="2"/>
      </tp>
      <tp>
        <v>44042.482914664353</v>
        <stp/>
        <stp>KVN.NGU.ITO.NXE</stp>
        <tr r="R23" s="2"/>
      </tp>
      <tp>
        <v>44042.482916168985</v>
        <stp/>
        <stp>DGS.QDY.BUE.UIQ</stp>
        <tr r="R22" s="2"/>
      </tp>
    </main>
    <main first="rtdsrv.6b5f41b1147e46eb9ef99ee779d850e5">
      <tp>
        <v>44042.482916168985</v>
        <stp/>
        <stp>DGS.QDY.BUE.UIQ.TTL.EBT.SRX.VCB.XUC.CRG</stp>
        <tr r="X22" s="2"/>
      </tp>
      <tp>
        <v>44042.482915324072</v>
        <stp/>
        <stp>HEK.YHB.LEE.TPI.MEJ.IBC</stp>
        <tr r="T16" s="2"/>
      </tp>
      <tp>
        <v>44042.482915324072</v>
        <stp/>
        <stp>HEK.YHB.LEE.TPI.MEJ.IBC.RAB.RNW</stp>
        <tr r="V16" s="2"/>
      </tp>
      <tp>
        <v>44042.482916168985</v>
        <stp/>
        <stp>DJB.JTW.KJR.DQC.FGN.DHS.JRD.LHZ.MGX.EAG</stp>
        <tr r="X21" s="2"/>
      </tp>
      <tp>
        <v>44042.482910115737</v>
        <stp/>
        <stp>CAQ.OZG</stp>
        <tr r="P18" s="2"/>
      </tp>
    </main>
    <main first="rtdsrv.6b5f41b1147e46eb9ef99ee779d850e5">
      <tp>
        <v>44042.482916168985</v>
        <stp/>
        <stp>DJB.JTW</stp>
        <tr r="P21" s="2"/>
      </tp>
      <tp>
        <v>44042.482910115737</v>
        <stp/>
        <stp>CAQ.OZG.PEI.RZX</stp>
        <tr r="R18" s="2"/>
      </tp>
    </main>
    <main first="rtdsrv.6b5f41b1147e46eb9ef99ee779d850e5">
      <tp>
        <v>44042.482915324072</v>
        <stp/>
        <stp>HEK.YHB.LEE.TPI</stp>
        <tr r="R16" s="2"/>
      </tp>
      <tp>
        <v>44042.482912939813</v>
        <stp/>
        <stp>OJZ.FTZ</stp>
        <tr r="P17" s="2"/>
      </tp>
    </main>
    <main first="rtdsrv.6b5f41b1147e46eb9ef99ee779d850e5">
      <tp>
        <v>44042.482913726853</v>
        <stp/>
        <stp>FEL.VRV.QQH.PJM.LXR.KAR.GBV.JRV.VJZ.EFD</stp>
        <tr r="X19" s="2"/>
      </tp>
    </main>
    <main first="rtdsrv.6b5f41b1147e46eb9ef99ee779d850e5">
      <tp>
        <v>44042.482912939813</v>
        <stp/>
        <stp>OJZ.FTZ.SEL.GQN.RQU.DFG</stp>
        <tr r="T17" s="2"/>
      </tp>
      <tp>
        <v>44042.482914270833</v>
        <stp/>
        <stp>PIL.NBI.JMP.WJQ.RJV.CNX.WRE.NDW</stp>
        <tr r="V15" s="2"/>
      </tp>
      <tp>
        <v>44042.482914270833</v>
        <stp/>
        <stp>PIL.NBI.JMP.WJQ.RJV.CNX.WRE.NDW.TSJ.TOO</stp>
        <tr r="X15" s="2"/>
      </tp>
    </main>
    <main first="rtdsrv.6b5f41b1147e46eb9ef99ee779d850e5">
      <tp>
        <v>44042.482915740744</v>
        <stp/>
        <stp>RPC.VFH.TUL.SGF.SEQ.VKI.VVQ.GMR.TKQ.IWO</stp>
        <tr r="X24" s="2"/>
      </tp>
      <tp>
        <v>44042.482916168985</v>
        <stp/>
        <stp>DGS.QDY</stp>
        <tr r="P22" s="2"/>
      </tp>
    </main>
    <main first="rtdsrv.6b5f41b1147e46eb9ef99ee779d850e5">
      <tp>
        <v>44042.482916168985</v>
        <stp/>
        <stp>UVD.UMR.ECX.UUX.AMY.VDA.PXB.CGH</stp>
        <tr r="V20" s="2"/>
      </tp>
    </main>
    <main first="rtdsrv.6b5f41b1147e46eb9ef99ee779d850e5">
      <tp>
        <v>44042.482915740744</v>
        <stp/>
        <stp>RPC.VFH.TUL.SGF.SEQ.VKI.VVQ.GMR</stp>
        <tr r="V24" s="2"/>
      </tp>
      <tp>
        <v>44042.482910115737</v>
        <stp/>
        <stp>CAQ.OZG.PEI.RZX.JYJ.UJZ.AEZ.GFF</stp>
        <tr r="V18" s="2"/>
      </tp>
    </main>
    <main first="rtdsrv.6b5f41b1147e46eb9ef99ee779d850e5">
      <tp>
        <v>44042.482916168985</v>
        <stp/>
        <stp>DGS.QDY.BUE.UIQ.TTL.EBT.SRX.VCB</stp>
        <tr r="V22" s="2"/>
      </tp>
      <tp>
        <v>44042.482913726853</v>
        <stp/>
        <stp>FEL.VRV.QQH.PJM.LXR.KAR</stp>
        <tr r="T19" s="2"/>
      </tp>
    </main>
    <main first="rtdsrv.6b5f41b1147e46eb9ef99ee779d850e5">
      <tp>
        <v>44042.482910115737</v>
        <stp/>
        <stp>CAQ.OZG.PEI.RZX.JYJ.UJZ.AEZ.GFF.UVK.SZY</stp>
        <tr r="X18" s="2"/>
      </tp>
      <tp>
        <v>44042.482910115737</v>
        <stp/>
        <stp>CAQ.OZG.PEI.RZX.JYJ.UJZ</stp>
        <tr r="T18" s="2"/>
      </tp>
      <tp>
        <v>44042.482915324072</v>
        <stp/>
        <stp>HEK.YHB</stp>
        <tr r="P16" s="2"/>
      </tp>
      <tp>
        <v>44042.482913726853</v>
        <stp/>
        <stp>FEL.VRV.QQH.PJM</stp>
        <tr r="R19" s="2"/>
      </tp>
    </main>
    <main first="rtdsrv.6b5f41b1147e46eb9ef99ee779d850e5">
      <tp>
        <v>44042.482913726853</v>
        <stp/>
        <stp>FEL.VRV</stp>
        <tr r="P19" s="2"/>
      </tp>
      <tp>
        <v>44042.482915324072</v>
        <stp/>
        <stp>HEK.YHB.LEE.TPI.MEJ.IBC.RAB.RNW.PTG.MLV</stp>
        <tr r="X16" s="2"/>
      </tp>
      <tp>
        <v>44042.482916168985</v>
        <stp/>
        <stp>UVD.UMR.ECX.UUX</stp>
        <tr r="R20" s="2"/>
      </tp>
    </main>
    <main first="rtdsrv.6b5f41b1147e46eb9ef99ee779d850e5">
      <tp>
        <v>44042.482916168985</v>
        <stp/>
        <stp>DGS.QDY.BUE.UIQ.TTL.EBT</stp>
        <tr r="T22" s="2"/>
      </tp>
      <tp>
        <v>44042.482916168985</v>
        <stp/>
        <stp>UVD.UMR.ECX.UUX.AMY.VDA.PXB.CGH.QDZ.VTL</stp>
        <tr r="X20" s="2"/>
      </tp>
    </main>
    <main first="rtdsrv.6b5f41b1147e46eb9ef99ee779d850e5">
      <tp>
        <v>44042.482914270833</v>
        <stp/>
        <stp>PIL.NBI.JMP.WJQ.RJV.CNX</stp>
        <tr r="T15" s="2"/>
      </tp>
    </main>
    <main first="rtdsrv.6b5f41b1147e46eb9ef99ee779d850e5">
      <tp>
        <v>44042.482914664353</v>
        <stp/>
        <stp>KVN.NGU.ITO.NXE.OEW.PWO.YHW.DJM.DZS.YJK</stp>
        <tr r="X23" s="2"/>
      </tp>
      <tp>
        <v>44042.482912939813</v>
        <stp/>
        <stp>OJZ.FTZ.SEL.GQN</stp>
        <tr r="R17" s="2"/>
      </tp>
      <tp>
        <v>44042.482914664353</v>
        <stp/>
        <stp>KVN.NGU.ITO.NXE.OEW.PWO</stp>
        <tr r="T23" s="2"/>
      </tp>
    </main>
    <main first="rtdsrv.6b5f41b1147e46eb9ef99ee779d850e5">
      <tp>
        <v>44042.482914270833</v>
        <stp/>
        <stp>PIL.NBI</stp>
        <tr r="P15" s="2"/>
      </tp>
    </main>
    <main first="rtdsrv.6b5f41b1147e46eb9ef99ee779d850e5">
      <tp>
        <v>44042.482913726853</v>
        <stp/>
        <stp>FEL.VRV.QQH.PJM.LXR.KAR.GBV.JRV</stp>
        <tr r="V19" s="2"/>
      </tp>
    </main>
    <main first="rtdsrv.84fdb56c3cb24a55af6b552b6f5d8c85">
      <tp t="s">
        <v>2020-07-30 11:35:23.397</v>
        <stp/>
        <stp>1836</stp>
        <tr r="R9" s="2"/>
      </tp>
      <tp t="s">
        <v>2020-07-30 11:35:23.008</v>
        <stp/>
        <stp>1820</stp>
        <tr r="R8" s="2"/>
      </tp>
      <tp t="s">
        <v>2020-07-30 11:35:23.131</v>
        <stp/>
        <stp>1800</stp>
        <tr r="R6" s="2"/>
      </tp>
      <tp t="s">
        <v>2020-07-30 11:35:23.631</v>
        <stp/>
        <stp>1808</stp>
        <tr r="R7" s="2"/>
      </tp>
      <tp t="s">
        <v>2020-07-30 11:35:23.444</v>
        <stp/>
        <stp>1874</stp>
        <tr r="R12" s="2"/>
      </tp>
      <tp t="s">
        <v>2020-07-30 11:35:23.276</v>
        <stp/>
        <stp>1856</stp>
        <tr r="R11" s="2"/>
      </tp>
      <tp t="s">
        <v>2020-07-30 11:35:23.943</v>
        <stp/>
        <stp>1844</stp>
        <tr r="R10" s="2"/>
      </tp>
      <tp t="s">
        <v>2020-07-30 11:35:23.808</v>
        <stp/>
        <stp>1230</stp>
        <tr r="Q11" s="2"/>
      </tp>
      <tp t="s">
        <v>2020-07-30 11:35:23.943</v>
        <stp/>
        <stp>1210</stp>
        <tr r="Q9" s="2"/>
      </tp>
      <tp t="s">
        <v>2020-07-30 11:35:22.993</v>
        <stp/>
        <stp>1218</stp>
        <tr r="Q10" s="2"/>
      </tp>
      <tp t="s">
        <v>2020-07-30 11:35:23.373</v>
        <stp/>
        <stp>1248</stp>
        <tr r="Q12" s="2"/>
      </tp>
      <tp t="s">
        <v>2020-07-30 11:35:23.961</v>
        <stp/>
        <stp>1174</stp>
        <tr r="Q6" s="2"/>
      </tp>
      <tp t="s">
        <v>2020-07-30 11:35:22.864</v>
        <stp/>
        <stp>1162</stp>
        <tr r="Q5" s="2"/>
      </tp>
      <tp t="s">
        <v>2020-07-30 11:35:22.830</v>
        <stp/>
        <stp>1151</stp>
        <tr r="Q3" s="2"/>
      </tp>
      <tp t="s">
        <v>2020-07-30 11:35:22.882</v>
        <stp/>
        <stp>1156</stp>
        <tr r="Q4" s="2"/>
      </tp>
      <tp t="s">
        <v>2020-07-30 11:35:23.276</v>
        <stp/>
        <stp>1194</stp>
        <tr r="Q8" s="2"/>
      </tp>
      <tp t="s">
        <v>2020-07-30 11:35:23.303</v>
        <stp/>
        <stp>1182</stp>
        <tr r="Q7" s="2"/>
      </tp>
      <tp t="s">
        <v>2020-07-30 11:35:22.729</v>
        <stp/>
        <stp>1777</stp>
        <tr r="R3" s="2"/>
      </tp>
      <tp t="s">
        <v>2020-07-30 11:35:22.664</v>
        <stp/>
        <stp>1782</stp>
        <tr r="R4" s="2"/>
      </tp>
      <tp t="s">
        <v>2020-07-30 11:35:23.587</v>
        <stp/>
        <stp>1788</stp>
        <tr r="R5" s="2"/>
      </tp>
    </main>
    <main first="rtdsrv.84fdb56c3cb24a55af6b552b6f5d8c85">
      <tp t="s">
        <v>2020-07-30 11:35:23.428</v>
        <stp/>
        <stp>582</stp>
        <tr r="P11" s="2"/>
      </tp>
      <tp t="s">
        <v>2020-07-30 11:35:23.745</v>
        <stp/>
        <stp>534</stp>
        <tr r="P7" s="2"/>
      </tp>
      <tp t="s">
        <v>2020-07-30 11:35:23.961</v>
        <stp/>
        <stp>526</stp>
        <tr r="P6" s="2"/>
      </tp>
      <tp t="s">
        <v>2020-07-30 11:35:23.677</v>
        <stp/>
        <stp>514</stp>
        <tr r="P5" s="2"/>
      </tp>
      <tp t="s">
        <v>2020-07-30 11:35:23.792</v>
        <stp/>
        <stp>503</stp>
        <tr r="P3" s="2"/>
      </tp>
      <tp t="s">
        <v>2020-07-30 11:35:23.882</v>
        <stp/>
        <stp>508</stp>
        <tr r="P4" s="2"/>
      </tp>
      <tp t="s">
        <v>2020-07-30 11:35:23.559</v>
        <stp/>
        <stp>570</stp>
        <tr r="P10" s="2"/>
      </tp>
      <tp t="s">
        <v>2020-07-30 11:35:23.821</v>
        <stp/>
        <stp>562</stp>
        <tr r="P9" s="2"/>
      </tp>
      <tp t="s">
        <v>2020-07-30 11:35:23.943</v>
        <stp/>
        <stp>546</stp>
        <tr r="P8" s="2"/>
      </tp>
      <tp t="s">
        <v>2020-07-30 11:35:23.896</v>
        <stp/>
        <stp>600</stp>
        <tr r="P12" s="2"/>
      </tp>
    </main>
    <main first="rtdsrv.6b5f41b1147e46eb9ef99ee779d850e5">
      <tp>
        <v>44042.482916168985</v>
        <stp/>
        <stp>UVD.UMR.ECX</stp>
        <tr r="Q20" s="2"/>
      </tp>
      <tp>
        <v>44042.482914270833</v>
        <stp/>
        <stp>PIL.NBI.JMP.WJQ.RJV.CNX.WRE</stp>
        <tr r="U15" s="2"/>
      </tp>
      <tp>
        <v>44042.482916168985</v>
        <stp/>
        <stp>UVD.UMR.ECX.UUX.AMY.VDA.PXB.CGH.QDZ</stp>
        <tr r="W20" s="2"/>
      </tp>
      <tp>
        <v>44042.482916168985</v>
        <stp/>
        <stp>DJB.JTW.KJR</stp>
        <tr r="Q21" s="2"/>
      </tp>
      <tp>
        <v>44042.482912939813</v>
        <stp/>
        <stp>OJZ.FTZ.SEL.GQN.RQU.DFG.ODG</stp>
        <tr r="U17" s="2"/>
      </tp>
      <tp>
        <v>44042.482910115737</v>
        <stp/>
        <stp>CAQ.OZG.PEI.RZX.JYJ</stp>
        <tr r="S18" s="2"/>
      </tp>
      <tp>
        <v>44042.482915324072</v>
        <stp/>
        <stp>HEK.YHB.LEE.TPI.MEJ</stp>
        <tr r="S16" s="2"/>
      </tp>
      <tp>
        <v>44042.482914664353</v>
        <stp/>
        <stp>KVN.NGU.ITO.NXE.OEW.PWO.YHW.DJM.DZS</stp>
        <tr r="W23" s="2"/>
      </tp>
      <tp>
        <v>44042.482916168985</v>
        <stp/>
        <stp>DJB</stp>
        <tr r="O21" s="2"/>
      </tp>
      <tp>
        <v>44042.482916168985</v>
        <stp/>
        <stp>DGS</stp>
        <tr r="O22" s="2"/>
      </tp>
      <tp>
        <v>44042.482914664353</v>
        <stp/>
        <stp>KVN.NGU.ITO.NXE.OEW.PWO.YHW</stp>
        <tr r="U23" s="2"/>
      </tp>
    </main>
    <main first="rtdsrv.6b5f41b1147e46eb9ef99ee779d850e5">
      <tp>
        <v>44042.482916168985</v>
        <stp/>
        <stp>DJB.JTW.KJR.DQC.FGN</stp>
        <tr r="S21" s="2"/>
      </tp>
    </main>
    <main first="rtdsrv.6b5f41b1147e46eb9ef99ee779d850e5">
      <tp>
        <v>44042.482913726853</v>
        <stp/>
        <stp>FEL</stp>
        <tr r="O19" s="2"/>
      </tp>
    </main>
    <main first="rtdsrv.6b5f41b1147e46eb9ef99ee779d850e5">
      <tp>
        <v>44042.482913726853</v>
        <stp/>
        <stp>FEL.VRV.QQH</stp>
        <tr r="Q19" s="2"/>
      </tp>
    </main>
    <main first="rtdsrv.6b5f41b1147e46eb9ef99ee779d850e5">
      <tp>
        <v>44042.482916168985</v>
        <stp/>
        <stp>DGS.QDY.BUE.UIQ.TTL.EBT.SRX</stp>
        <tr r="U22" s="2"/>
      </tp>
      <tp>
        <v>44042.482915740744</v>
        <stp/>
        <stp>RPC.VFH.TUL.SGF.SEQ.VKI.VVQ.GMR.TKQ</stp>
        <tr r="W24" s="2"/>
      </tp>
      <tp>
        <v>44042.482910115737</v>
        <stp/>
        <stp>CAQ</stp>
        <tr r="O18" s="2"/>
      </tp>
    </main>
    <main first="rtdsrv.6b5f41b1147e46eb9ef99ee779d850e5">
      <tp>
        <v>44042.482910115737</v>
        <stp/>
        <stp>CAQ.OZG.PEI.RZX.JYJ.UJZ.AEZ.GFF.UVK</stp>
        <tr r="W18" s="2"/>
      </tp>
    </main>
    <main first="rtdsrv.6b5f41b1147e46eb9ef99ee779d850e5">
      <tp>
        <v>44042.482914664353</v>
        <stp/>
        <stp>KVN.NGU.ITO.NXE.OEW</stp>
        <tr r="S23" s="2"/>
      </tp>
      <tp>
        <v>44042.482913726853</v>
        <stp/>
        <stp>FEL.VRV.QQH.PJM.LXR.KAR.GBV.JRV.VJZ</stp>
        <tr r="W19" s="2"/>
      </tp>
    </main>
    <main first="rtdsrv.6b5f41b1147e46eb9ef99ee779d850e5">
      <tp>
        <v>44042.482914664353</v>
        <stp/>
        <stp>KVN.NGU.ITO</stp>
        <tr r="Q23" s="2"/>
      </tp>
    </main>
    <main first="rtdsrv.6b5f41b1147e46eb9ef99ee779d850e5">
      <tp>
        <v>44042.482912939813</v>
        <stp/>
        <stp>OJZ.FTZ.SEL.GQN.RQU</stp>
        <tr r="S17" s="2"/>
      </tp>
      <tp>
        <v>44042.482912939813</v>
        <stp/>
        <stp>OJZ</stp>
        <tr r="O17" s="2"/>
      </tp>
      <tp>
        <v>44042.482912939813</v>
        <stp/>
        <stp>OJZ.FTZ.SEL.GQN.RQU.DFG.ODG.AMV.JWU</stp>
        <tr r="W17" s="2"/>
      </tp>
      <tp>
        <v>44042.482916168985</v>
        <stp/>
        <stp>DGS.QDY.BUE.UIQ.TTL.EBT.SRX.VCB.XUC</stp>
        <tr r="W22" s="2"/>
      </tp>
    </main>
    <main first="rtdsrv.6b5f41b1147e46eb9ef99ee779d850e5">
      <tp>
        <v>44042.482916168985</v>
        <stp/>
        <stp>DJB.JTW.KJR.DQC.FGN.DHS.JRD</stp>
        <tr r="U21" s="2"/>
      </tp>
    </main>
    <main first="rtdsrv.6b5f41b1147e46eb9ef99ee779d850e5">
      <tp>
        <v>44042.482916168985</v>
        <stp/>
        <stp>DJB.JTW.KJR.DQC.FGN.DHS.JRD.LHZ.MGX</stp>
        <tr r="W21" s="2"/>
      </tp>
      <tp>
        <v>44042.482915324072</v>
        <stp/>
        <stp>HEK</stp>
        <tr r="O16" s="2"/>
      </tp>
    </main>
    <main first="rtdsrv.6b5f41b1147e46eb9ef99ee779d850e5">
      <tp>
        <v>44042.482914664353</v>
        <stp/>
        <stp>KVN</stp>
        <tr r="O23" s="2"/>
      </tp>
    </main>
    <main first="rtdsrv.6b5f41b1147e46eb9ef99ee779d850e5">
      <tp>
        <v>44042.482916168985</v>
        <stp/>
        <stp>UVD</stp>
        <tr r="O20" s="2"/>
      </tp>
    </main>
    <main first="rtdsrv.6b5f41b1147e46eb9ef99ee779d850e5">
      <tp>
        <v>44042.482914270833</v>
        <stp/>
        <stp>PIL.NBI.JMP</stp>
        <tr r="Q15" s="2"/>
      </tp>
    </main>
    <main first="rtdsrv.6b5f41b1147e46eb9ef99ee779d850e5">
      <tp>
        <v>44042.482916168985</v>
        <stp/>
        <stp>UVD.UMR.ECX.UUX.AMY.VDA.PXB</stp>
        <tr r="U20" s="2"/>
      </tp>
      <tp>
        <v>44042.482916168985</v>
        <stp/>
        <stp>DGS.QDY.BUE</stp>
        <tr r="Q22" s="2"/>
      </tp>
    </main>
    <main first="rtdsrv.6b5f41b1147e46eb9ef99ee779d850e5">
      <tp>
        <v>44042.482916168985</v>
        <stp/>
        <stp>DGS.QDY.BUE.UIQ.TTL</stp>
        <tr r="S22" s="2"/>
      </tp>
    </main>
    <main first="rtdsrv.6b5f41b1147e46eb9ef99ee779d850e5">
      <tp>
        <v>44042.482913726853</v>
        <stp/>
        <stp>FEL.VRV.QQH.PJM.LXR.KAR.GBV</stp>
        <tr r="U19" s="2"/>
      </tp>
      <tp>
        <v>44042.482916168985</v>
        <stp/>
        <stp>UVD.UMR.ECX.UUX.AMY</stp>
        <tr r="S20" s="2"/>
      </tp>
      <tp>
        <v>44042.482914270833</v>
        <stp/>
        <stp>PIL.NBI.JMP.WJQ.RJV</stp>
        <tr r="S15" s="2"/>
      </tp>
    </main>
    <main first="rtdsrv.6b5f41b1147e46eb9ef99ee779d850e5">
      <tp>
        <v>44042.482915740744</v>
        <stp/>
        <stp>RPC.VFH.TUL.SGF.SEQ.VKI.VVQ</stp>
        <tr r="U24" s="2"/>
      </tp>
      <tp>
        <v>44042.482910115737</v>
        <stp/>
        <stp>CAQ.OZG.PEI.RZX.JYJ.UJZ.AEZ</stp>
        <tr r="U18" s="2"/>
      </tp>
      <tp>
        <v>44042.482914270833</v>
        <stp/>
        <stp>PIL</stp>
        <tr r="O15" s="2"/>
      </tp>
      <tp>
        <v>44042.482915740744</v>
        <stp/>
        <stp>RPC.VFH.TUL.SGF.SEQ</stp>
        <tr r="S24" s="2"/>
      </tp>
      <tp>
        <v>44042.482915740744</v>
        <stp/>
        <stp>RPC.VFH.TUL</stp>
        <tr r="Q24" s="2"/>
      </tp>
    </main>
    <main first="rtdsrv.6b5f41b1147e46eb9ef99ee779d850e5">
      <tp>
        <v>44042.482915740744</v>
        <stp/>
        <stp>RPC</stp>
        <tr r="O24" s="2"/>
      </tp>
    </main>
    <main first="rtdsrv.6b5f41b1147e46eb9ef99ee779d850e5">
      <tp>
        <v>44042.482913726853</v>
        <stp/>
        <stp>FEL.VRV.QQH.PJM.LXR</stp>
        <tr r="S19" s="2"/>
      </tp>
      <tp>
        <v>44042.482915324072</v>
        <stp/>
        <stp>HEK.YHB.LEE</stp>
        <tr r="Q16" s="2"/>
      </tp>
      <tp>
        <v>44042.482915324072</v>
        <stp/>
        <stp>HEK.YHB.LEE.TPI.MEJ.IBC.RAB.RNW.PTG</stp>
        <tr r="W16" s="2"/>
      </tp>
    </main>
    <main first="rtdsrv.6b5f41b1147e46eb9ef99ee779d850e5">
      <tp>
        <v>44042.482910115737</v>
        <stp/>
        <stp>CAQ.OZG.PEI</stp>
        <tr r="Q18" s="2"/>
      </tp>
    </main>
    <main first="rtdsrv.6b5f41b1147e46eb9ef99ee779d850e5">
      <tp>
        <v>44042.482915324072</v>
        <stp/>
        <stp>HEK.YHB.LEE.TPI.MEJ.IBC.RAB</stp>
        <tr r="U16" s="2"/>
      </tp>
      <tp>
        <v>44042.482914270833</v>
        <stp/>
        <stp>PIL.NBI.JMP.WJQ.RJV.CNX.WRE.NDW.TSJ</stp>
        <tr r="W15" s="2"/>
      </tp>
    </main>
    <main first="rtdsrv.6b5f41b1147e46eb9ef99ee779d850e5">
      <tp>
        <v>44042.482912939813</v>
        <stp/>
        <stp>OJZ.FTZ.SEL</stp>
        <tr r="Q1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26</xdr:row>
          <xdr:rowOff>0</xdr:rowOff>
        </xdr:from>
        <xdr:to>
          <xdr:col>7</xdr:col>
          <xdr:colOff>0</xdr:colOff>
          <xdr:row>30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1A91698-1F67-4090-87B1-0ACAB38A6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Throttle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</xdr:row>
          <xdr:rowOff>66675</xdr:rowOff>
        </xdr:from>
        <xdr:to>
          <xdr:col>7</xdr:col>
          <xdr:colOff>0</xdr:colOff>
          <xdr:row>36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ED18418-CEC3-4A64-8D75-2F1FFA6A3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2F1A6-87CA-4760-B99A-BEB82D88ABA3}">
  <sheetPr codeName="Sheet1"/>
  <dimension ref="B2:AE35"/>
  <sheetViews>
    <sheetView tabSelected="1" workbookViewId="0"/>
  </sheetViews>
  <sheetFormatPr defaultRowHeight="11.25" x14ac:dyDescent="0.2"/>
  <cols>
    <col min="1" max="1" width="3.83203125" customWidth="1"/>
  </cols>
  <sheetData>
    <row r="2" spans="2:31" x14ac:dyDescent="0.2">
      <c r="B2" s="1">
        <v>10</v>
      </c>
      <c r="C2" s="1">
        <v>3</v>
      </c>
      <c r="D2" s="1">
        <v>1</v>
      </c>
      <c r="E2" s="1">
        <f>D2+$C$2</f>
        <v>4</v>
      </c>
      <c r="F2" s="1">
        <f t="shared" ref="F2:M2" si="0">E2+$C$2</f>
        <v>7</v>
      </c>
      <c r="G2" s="1">
        <f t="shared" si="0"/>
        <v>10</v>
      </c>
      <c r="H2" s="1">
        <f t="shared" si="0"/>
        <v>13</v>
      </c>
      <c r="I2" s="1">
        <f t="shared" si="0"/>
        <v>16</v>
      </c>
      <c r="J2" s="1">
        <f t="shared" si="0"/>
        <v>19</v>
      </c>
      <c r="K2" s="1">
        <f t="shared" si="0"/>
        <v>22</v>
      </c>
      <c r="L2" s="1">
        <f t="shared" si="0"/>
        <v>25</v>
      </c>
      <c r="M2" s="1">
        <f t="shared" si="0"/>
        <v>28</v>
      </c>
      <c r="P2" s="1">
        <v>503</v>
      </c>
      <c r="Q2" s="1">
        <v>1151</v>
      </c>
      <c r="R2" s="1">
        <v>1777</v>
      </c>
    </row>
    <row r="3" spans="2:31" x14ac:dyDescent="0.2">
      <c r="B3" t="str" cm="1">
        <f t="array" aca="1" ref="B3" ca="1">_xlfn.CONCAT(CHAR(_xlfn.RANDARRAY(1,$B$2*$C$2,65,90,TRUE)))</f>
        <v>LGQURWEHSJXTHJIDXYAHAHRXVCNTGZ</v>
      </c>
      <c r="C3" s="2" t="s">
        <v>1</v>
      </c>
      <c r="D3" t="str">
        <f>MID($C3,D$2,$C$2)</f>
        <v>PIL</v>
      </c>
      <c r="E3" t="str">
        <f t="shared" ref="E3:M3" si="1">MID($C3,E$2,$C$2)</f>
        <v>NBI</v>
      </c>
      <c r="F3" t="str">
        <f t="shared" si="1"/>
        <v>JMP</v>
      </c>
      <c r="G3" t="str">
        <f t="shared" si="1"/>
        <v>WJQ</v>
      </c>
      <c r="H3" t="str">
        <f t="shared" si="1"/>
        <v>RJV</v>
      </c>
      <c r="I3" t="str">
        <f t="shared" si="1"/>
        <v>CNX</v>
      </c>
      <c r="J3" t="str">
        <f t="shared" si="1"/>
        <v>WRE</v>
      </c>
      <c r="K3" t="str">
        <f t="shared" si="1"/>
        <v>NDW</v>
      </c>
      <c r="L3" t="str">
        <f t="shared" si="1"/>
        <v>TSJ</v>
      </c>
      <c r="M3" t="str">
        <f t="shared" si="1"/>
        <v>TOO</v>
      </c>
      <c r="N3" t="str">
        <f>_xlfn.TEXTJOIN(".",TRUE,D3:M3)</f>
        <v>PIL.NBI.JMP.WJQ.RJV.CNX.WRE.NDW.TSJ.TOO</v>
      </c>
      <c r="O3" s="1">
        <v>0</v>
      </c>
      <c r="P3" t="str" cm="1">
        <f t="array" ref="P3">_xll.RTD.TimeTick((P$2+$O3)/1000)</f>
        <v>2020-07-30 11:35:23.792</v>
      </c>
      <c r="Q3" t="str" cm="1">
        <f t="array" ref="Q3">_xll.RTD.TimeTick((Q$2+$O3)/1000)</f>
        <v>2020-07-30 11:35:22.830</v>
      </c>
      <c r="R3" t="str" cm="1">
        <f t="array" ref="R3">_xll.RTD.TimeTick((R$2+$O3)/1000)</f>
        <v>2020-07-30 11:35:22.729</v>
      </c>
      <c r="S3" t="str" cm="1">
        <f t="array" ref="S3">_xll.RTD.NotifyPath($N3,P3)</f>
        <v>2020-07-30 11:35:23.793</v>
      </c>
      <c r="T3" t="str" cm="1">
        <f t="array" ref="T3">_xll.RTD.NotifyPath($N3,Q3)</f>
        <v>2020-07-30 11:35:22.873</v>
      </c>
      <c r="U3" t="str" cm="1">
        <f t="array" ref="U3">_xll.RTD.NotifyPath($N3,R3)</f>
        <v>2020-07-30 11:35:22.757</v>
      </c>
      <c r="AE3" t="s">
        <v>0</v>
      </c>
    </row>
    <row r="4" spans="2:31" x14ac:dyDescent="0.2">
      <c r="B4" t="str" cm="1">
        <f t="array" aca="1" ref="B4" ca="1">_xlfn.CONCAT(CHAR(_xlfn.RANDARRAY(1,$B$2*$C$2,65,90,TRUE)))</f>
        <v>ZKZMTMDYYJGEEUDRTEQVIKUPRTWOKP</v>
      </c>
      <c r="C4" s="2" t="s">
        <v>2</v>
      </c>
      <c r="D4" t="str">
        <f t="shared" ref="D4:M12" si="2">MID($C4,D$2,$C$2)</f>
        <v>HEK</v>
      </c>
      <c r="E4" t="str">
        <f t="shared" si="2"/>
        <v>YHB</v>
      </c>
      <c r="F4" t="str">
        <f t="shared" si="2"/>
        <v>LEE</v>
      </c>
      <c r="G4" t="str">
        <f t="shared" si="2"/>
        <v>TPI</v>
      </c>
      <c r="H4" t="str">
        <f t="shared" si="2"/>
        <v>MEJ</v>
      </c>
      <c r="I4" t="str">
        <f t="shared" si="2"/>
        <v>IBC</v>
      </c>
      <c r="J4" t="str">
        <f t="shared" si="2"/>
        <v>RAB</v>
      </c>
      <c r="K4" t="str">
        <f t="shared" si="2"/>
        <v>RNW</v>
      </c>
      <c r="L4" t="str">
        <f t="shared" si="2"/>
        <v>PTG</v>
      </c>
      <c r="M4" t="str">
        <f t="shared" si="2"/>
        <v>MLV</v>
      </c>
      <c r="N4" t="str">
        <f t="shared" ref="N4:N12" si="3">_xlfn.TEXTJOIN(".",TRUE,D4:M4)</f>
        <v>HEK.YHB.LEE.TPI.MEJ.IBC.RAB.RNW.PTG.MLV</v>
      </c>
      <c r="O4" s="1">
        <v>5</v>
      </c>
      <c r="P4" t="str" cm="1">
        <f t="array" ref="P4">_xll.RTD.TimeTick((P$2+$O4)/1000)</f>
        <v>2020-07-30 11:35:23.882</v>
      </c>
      <c r="Q4" t="str" cm="1">
        <f t="array" ref="Q4">_xll.RTD.TimeTick((Q$2+$O4)/1000)</f>
        <v>2020-07-30 11:35:22.882</v>
      </c>
      <c r="R4" t="str" cm="1">
        <f t="array" ref="R4">_xll.RTD.TimeTick((R$2+$O4)/1000)</f>
        <v>2020-07-30 11:35:22.664</v>
      </c>
      <c r="S4" t="str" cm="1">
        <f t="array" ref="S4">_xll.RTD.NotifyPath($N4,P4)</f>
        <v>2020-07-30 11:35:23.884</v>
      </c>
      <c r="T4" t="str" cm="1">
        <f t="array" ref="T4">_xll.RTD.NotifyPath($N4,Q4)</f>
        <v>2020-07-30 11:35:22.935</v>
      </c>
      <c r="U4" t="str" cm="1">
        <f t="array" ref="U4">_xll.RTD.NotifyPath($N4,R4)</f>
        <v>2020-07-30 11:35:22.683</v>
      </c>
    </row>
    <row r="5" spans="2:31" x14ac:dyDescent="0.2">
      <c r="B5" t="str" cm="1">
        <f t="array" aca="1" ref="B5" ca="1">_xlfn.CONCAT(CHAR(_xlfn.RANDARRAY(1,$B$2*$C$2,65,90,TRUE)))</f>
        <v>NPOIGDSHHMJFIPEKPIHJWYNBHQIDUR</v>
      </c>
      <c r="C5" s="2" t="s">
        <v>3</v>
      </c>
      <c r="D5" t="str">
        <f t="shared" si="2"/>
        <v>OJZ</v>
      </c>
      <c r="E5" t="str">
        <f t="shared" si="2"/>
        <v>FTZ</v>
      </c>
      <c r="F5" t="str">
        <f t="shared" si="2"/>
        <v>SEL</v>
      </c>
      <c r="G5" t="str">
        <f t="shared" si="2"/>
        <v>GQN</v>
      </c>
      <c r="H5" t="str">
        <f t="shared" si="2"/>
        <v>RQU</v>
      </c>
      <c r="I5" t="str">
        <f t="shared" si="2"/>
        <v>DFG</v>
      </c>
      <c r="J5" t="str">
        <f t="shared" si="2"/>
        <v>ODG</v>
      </c>
      <c r="K5" t="str">
        <f t="shared" si="2"/>
        <v>AMV</v>
      </c>
      <c r="L5" t="str">
        <f t="shared" si="2"/>
        <v>JWU</v>
      </c>
      <c r="M5" t="str">
        <f t="shared" si="2"/>
        <v>IBR</v>
      </c>
      <c r="N5" t="str">
        <f t="shared" si="3"/>
        <v>OJZ.FTZ.SEL.GQN.RQU.DFG.ODG.AMV.JWU.IBR</v>
      </c>
      <c r="O5" s="1">
        <v>11</v>
      </c>
      <c r="P5" t="str" cm="1">
        <f t="array" ref="P5">_xll.RTD.TimeTick((P$2+$O5)/1000)</f>
        <v>2020-07-30 11:35:23.677</v>
      </c>
      <c r="Q5" t="str" cm="1">
        <f t="array" ref="Q5">_xll.RTD.TimeTick((Q$2+$O5)/1000)</f>
        <v>2020-07-30 11:35:22.864</v>
      </c>
      <c r="R5" t="str" cm="1">
        <f t="array" ref="R5">_xll.RTD.TimeTick((R$2+$O5)/1000)</f>
        <v>2020-07-30 11:35:23.587</v>
      </c>
      <c r="S5" t="str" cm="1">
        <f t="array" ref="S5">_xll.RTD.NotifyPath($N5,P5)</f>
        <v>2020-07-30 11:35:23.678</v>
      </c>
      <c r="T5" t="str" cm="1">
        <f t="array" ref="T5">_xll.RTD.NotifyPath($N5,Q5)</f>
        <v>2020-07-30 11:35:22.872</v>
      </c>
      <c r="U5" t="str" cm="1">
        <f t="array" ref="U5">_xll.RTD.NotifyPath($N5,R5)</f>
        <v>2020-07-30 11:35:23.591</v>
      </c>
    </row>
    <row r="6" spans="2:31" x14ac:dyDescent="0.2">
      <c r="B6" t="str" cm="1">
        <f t="array" aca="1" ref="B6" ca="1">_xlfn.CONCAT(CHAR(_xlfn.RANDARRAY(1,$B$2*$C$2,65,90,TRUE)))</f>
        <v>POEDOVIGKTJRKCFWVUCXGGJAPDOYZZ</v>
      </c>
      <c r="C6" s="2" t="s">
        <v>4</v>
      </c>
      <c r="D6" t="str">
        <f t="shared" si="2"/>
        <v>CAQ</v>
      </c>
      <c r="E6" t="str">
        <f t="shared" si="2"/>
        <v>OZG</v>
      </c>
      <c r="F6" t="str">
        <f t="shared" si="2"/>
        <v>PEI</v>
      </c>
      <c r="G6" t="str">
        <f t="shared" si="2"/>
        <v>RZX</v>
      </c>
      <c r="H6" t="str">
        <f t="shared" si="2"/>
        <v>JYJ</v>
      </c>
      <c r="I6" t="str">
        <f t="shared" si="2"/>
        <v>UJZ</v>
      </c>
      <c r="J6" t="str">
        <f t="shared" si="2"/>
        <v>AEZ</v>
      </c>
      <c r="K6" t="str">
        <f t="shared" si="2"/>
        <v>GFF</v>
      </c>
      <c r="L6" t="str">
        <f t="shared" si="2"/>
        <v>UVK</v>
      </c>
      <c r="M6" t="str">
        <f t="shared" si="2"/>
        <v>SZY</v>
      </c>
      <c r="N6" t="str">
        <f t="shared" si="3"/>
        <v>CAQ.OZG.PEI.RZX.JYJ.UJZ.AEZ.GFF.UVK.SZY</v>
      </c>
      <c r="O6" s="1">
        <v>23</v>
      </c>
      <c r="P6" t="str" cm="1">
        <f t="array" ref="P6">_xll.RTD.TimeTick((P$2+$O6)/1000)</f>
        <v>2020-07-30 11:35:23.961</v>
      </c>
      <c r="Q6" t="str" cm="1">
        <f t="array" ref="Q6">_xll.RTD.TimeTick((Q$2+$O6)/1000)</f>
        <v>2020-07-30 11:35:23.961</v>
      </c>
      <c r="R6" t="str" cm="1">
        <f t="array" ref="R6">_xll.RTD.TimeTick((R$2+$O6)/1000)</f>
        <v>2020-07-30 11:35:23.131</v>
      </c>
      <c r="S6" t="str" cm="1">
        <f t="array" ref="S6">_xll.RTD.NotifyPath($N6,P6)</f>
        <v>2020-07-30 11:35:23.972</v>
      </c>
      <c r="T6" t="str" cm="1">
        <f t="array" ref="T6">_xll.RTD.NotifyPath($N6,Q6)</f>
        <v>2020-07-30 11:35:23.972</v>
      </c>
      <c r="U6" t="str" cm="1">
        <f t="array" ref="U6">_xll.RTD.NotifyPath($N6,R6)</f>
        <v>2020-07-30 11:35:23.131</v>
      </c>
    </row>
    <row r="7" spans="2:31" x14ac:dyDescent="0.2">
      <c r="B7" t="str" cm="1">
        <f t="array" aca="1" ref="B7" ca="1">_xlfn.CONCAT(CHAR(_xlfn.RANDARRAY(1,$B$2*$C$2,65,90,TRUE)))</f>
        <v>XWMWWYRZDLDROATSVOHSJWNUBINSMQ</v>
      </c>
      <c r="C7" s="2" t="s">
        <v>5</v>
      </c>
      <c r="D7" t="str">
        <f t="shared" si="2"/>
        <v>FEL</v>
      </c>
      <c r="E7" t="str">
        <f t="shared" si="2"/>
        <v>VRV</v>
      </c>
      <c r="F7" t="str">
        <f t="shared" si="2"/>
        <v>QQH</v>
      </c>
      <c r="G7" t="str">
        <f t="shared" si="2"/>
        <v>PJM</v>
      </c>
      <c r="H7" t="str">
        <f t="shared" si="2"/>
        <v>LXR</v>
      </c>
      <c r="I7" t="str">
        <f t="shared" si="2"/>
        <v>KAR</v>
      </c>
      <c r="J7" t="str">
        <f t="shared" si="2"/>
        <v>GBV</v>
      </c>
      <c r="K7" t="str">
        <f t="shared" si="2"/>
        <v>JRV</v>
      </c>
      <c r="L7" t="str">
        <f t="shared" si="2"/>
        <v>VJZ</v>
      </c>
      <c r="M7" t="str">
        <f t="shared" si="2"/>
        <v>EFD</v>
      </c>
      <c r="N7" t="str">
        <f t="shared" si="3"/>
        <v>FEL.VRV.QQH.PJM.LXR.KAR.GBV.JRV.VJZ.EFD</v>
      </c>
      <c r="O7" s="1">
        <v>31</v>
      </c>
      <c r="P7" t="str" cm="1">
        <f t="array" ref="P7">_xll.RTD.TimeTick((P$2+$O7)/1000)</f>
        <v>2020-07-30 11:35:23.745</v>
      </c>
      <c r="Q7" t="str" cm="1">
        <f t="array" ref="Q7">_xll.RTD.TimeTick((Q$2+$O7)/1000)</f>
        <v>2020-07-30 11:35:23.303</v>
      </c>
      <c r="R7" t="str" cm="1">
        <f t="array" ref="R7">_xll.RTD.TimeTick((R$2+$O7)/1000)</f>
        <v>2020-07-30 11:35:23.631</v>
      </c>
      <c r="S7" t="str" cm="1">
        <f t="array" ref="S7">_xll.RTD.NotifyPath($N7,P7)</f>
        <v>2020-07-30 11:35:23.746</v>
      </c>
      <c r="T7" t="str" cm="1">
        <f t="array" ref="T7">_xll.RTD.NotifyPath($N7,Q7)</f>
        <v>2020-07-30 11:35:23.315</v>
      </c>
      <c r="U7" t="str" cm="1">
        <f t="array" ref="U7">_xll.RTD.NotifyPath($N7,R7)</f>
        <v>2020-07-30 11:35:23.638</v>
      </c>
    </row>
    <row r="8" spans="2:31" x14ac:dyDescent="0.2">
      <c r="B8" t="str" cm="1">
        <f t="array" aca="1" ref="B8" ca="1">_xlfn.CONCAT(CHAR(_xlfn.RANDARRAY(1,$B$2*$C$2,65,90,TRUE)))</f>
        <v>GKHPHHIDXGFWSFUFFVJOBRCJXKPJMN</v>
      </c>
      <c r="C8" s="2" t="s">
        <v>6</v>
      </c>
      <c r="D8" t="str">
        <f t="shared" si="2"/>
        <v>UVD</v>
      </c>
      <c r="E8" t="str">
        <f t="shared" si="2"/>
        <v>UMR</v>
      </c>
      <c r="F8" t="str">
        <f t="shared" si="2"/>
        <v>ECX</v>
      </c>
      <c r="G8" t="str">
        <f t="shared" si="2"/>
        <v>UUX</v>
      </c>
      <c r="H8" t="str">
        <f t="shared" si="2"/>
        <v>AMY</v>
      </c>
      <c r="I8" t="str">
        <f t="shared" si="2"/>
        <v>VDA</v>
      </c>
      <c r="J8" t="str">
        <f t="shared" si="2"/>
        <v>PXB</v>
      </c>
      <c r="K8" t="str">
        <f t="shared" si="2"/>
        <v>CGH</v>
      </c>
      <c r="L8" t="str">
        <f t="shared" si="2"/>
        <v>QDZ</v>
      </c>
      <c r="M8" t="str">
        <f t="shared" si="2"/>
        <v>VTL</v>
      </c>
      <c r="N8" t="str">
        <f t="shared" si="3"/>
        <v>UVD.UMR.ECX.UUX.AMY.VDA.PXB.CGH.QDZ.VTL</v>
      </c>
      <c r="O8" s="1">
        <v>43</v>
      </c>
      <c r="P8" t="str" cm="1">
        <f t="array" ref="P8">_xll.RTD.TimeTick((P$2+$O8)/1000)</f>
        <v>2020-07-30 11:35:23.943</v>
      </c>
      <c r="Q8" t="str" cm="1">
        <f t="array" ref="Q8">_xll.RTD.TimeTick((Q$2+$O8)/1000)</f>
        <v>2020-07-30 11:35:23.276</v>
      </c>
      <c r="R8" t="str" cm="1">
        <f t="array" ref="R8">_xll.RTD.TimeTick((R$2+$O8)/1000)</f>
        <v>2020-07-30 11:35:23.008</v>
      </c>
      <c r="S8" t="str" cm="1">
        <f t="array" ref="S8">_xll.RTD.NotifyPath($N8,P8)</f>
        <v>2020-07-30 11:35:23.957</v>
      </c>
      <c r="T8" t="str" cm="1">
        <f t="array" ref="T8">_xll.RTD.NotifyPath($N8,Q8)</f>
        <v>2020-07-30 11:35:23.299</v>
      </c>
      <c r="U8" t="str" cm="1">
        <f t="array" ref="U8">_xll.RTD.NotifyPath($N8,R8)</f>
        <v>2020-07-30 11:35:23.012</v>
      </c>
    </row>
    <row r="9" spans="2:31" x14ac:dyDescent="0.2">
      <c r="B9" t="str" cm="1">
        <f t="array" aca="1" ref="B9" ca="1">_xlfn.CONCAT(CHAR(_xlfn.RANDARRAY(1,$B$2*$C$2,65,90,TRUE)))</f>
        <v>QUDATRJRCASXUUSPQZJTHWWAVLVLTW</v>
      </c>
      <c r="C9" s="2" t="s">
        <v>7</v>
      </c>
      <c r="D9" t="str">
        <f t="shared" si="2"/>
        <v>DJB</v>
      </c>
      <c r="E9" t="str">
        <f t="shared" si="2"/>
        <v>JTW</v>
      </c>
      <c r="F9" t="str">
        <f t="shared" si="2"/>
        <v>KJR</v>
      </c>
      <c r="G9" t="str">
        <f t="shared" si="2"/>
        <v>DQC</v>
      </c>
      <c r="H9" t="str">
        <f t="shared" si="2"/>
        <v>FGN</v>
      </c>
      <c r="I9" t="str">
        <f t="shared" si="2"/>
        <v>DHS</v>
      </c>
      <c r="J9" t="str">
        <f t="shared" si="2"/>
        <v>JRD</v>
      </c>
      <c r="K9" t="str">
        <f t="shared" si="2"/>
        <v>LHZ</v>
      </c>
      <c r="L9" t="str">
        <f t="shared" si="2"/>
        <v>MGX</v>
      </c>
      <c r="M9" t="str">
        <f t="shared" si="2"/>
        <v>EAG</v>
      </c>
      <c r="N9" t="str">
        <f t="shared" si="3"/>
        <v>DJB.JTW.KJR.DQC.FGN.DHS.JRD.LHZ.MGX.EAG</v>
      </c>
      <c r="O9" s="1">
        <v>59</v>
      </c>
      <c r="P9" t="str" cm="1">
        <f t="array" ref="P9">_xll.RTD.TimeTick((P$2+$O9)/1000)</f>
        <v>2020-07-30 11:35:23.821</v>
      </c>
      <c r="Q9" t="str" cm="1">
        <f t="array" ref="Q9">_xll.RTD.TimeTick((Q$2+$O9)/1000)</f>
        <v>2020-07-30 11:35:23.943</v>
      </c>
      <c r="R9" t="str" cm="1">
        <f t="array" ref="R9">_xll.RTD.TimeTick((R$2+$O9)/1000)</f>
        <v>2020-07-30 11:35:23.397</v>
      </c>
      <c r="S9" t="str" cm="1">
        <f t="array" ref="S9">_xll.RTD.NotifyPath($N9,P9)</f>
        <v>2020-07-30 11:35:23.826</v>
      </c>
      <c r="T9" t="str" cm="1">
        <f t="array" ref="T9">_xll.RTD.NotifyPath($N9,Q9)</f>
        <v>2020-07-30 11:35:23.957</v>
      </c>
      <c r="U9" t="str" cm="1">
        <f t="array" ref="U9">_xll.RTD.NotifyPath($N9,R9)</f>
        <v>2020-07-30 11:35:23.432</v>
      </c>
    </row>
    <row r="10" spans="2:31" x14ac:dyDescent="0.2">
      <c r="B10" t="str" cm="1">
        <f t="array" aca="1" ref="B10" ca="1">_xlfn.CONCAT(CHAR(_xlfn.RANDARRAY(1,$B$2*$C$2,65,90,TRUE)))</f>
        <v>UUCNRYZXDAMHVKCSRVKCYGLUJEFYXH</v>
      </c>
      <c r="C10" s="2" t="s">
        <v>8</v>
      </c>
      <c r="D10" t="str">
        <f t="shared" si="2"/>
        <v>DGS</v>
      </c>
      <c r="E10" t="str">
        <f t="shared" si="2"/>
        <v>QDY</v>
      </c>
      <c r="F10" t="str">
        <f t="shared" si="2"/>
        <v>BUE</v>
      </c>
      <c r="G10" t="str">
        <f t="shared" si="2"/>
        <v>UIQ</v>
      </c>
      <c r="H10" t="str">
        <f t="shared" si="2"/>
        <v>TTL</v>
      </c>
      <c r="I10" t="str">
        <f t="shared" si="2"/>
        <v>EBT</v>
      </c>
      <c r="J10" t="str">
        <f t="shared" si="2"/>
        <v>SRX</v>
      </c>
      <c r="K10" t="str">
        <f t="shared" si="2"/>
        <v>VCB</v>
      </c>
      <c r="L10" t="str">
        <f t="shared" si="2"/>
        <v>XUC</v>
      </c>
      <c r="M10" t="str">
        <f t="shared" si="2"/>
        <v>CRG</v>
      </c>
      <c r="N10" t="str">
        <f t="shared" si="3"/>
        <v>DGS.QDY.BUE.UIQ.TTL.EBT.SRX.VCB.XUC.CRG</v>
      </c>
      <c r="O10" s="1">
        <v>67</v>
      </c>
      <c r="P10" t="str" cm="1">
        <f t="array" ref="P10">_xll.RTD.TimeTick((P$2+$O10)/1000)</f>
        <v>2020-07-30 11:35:23.559</v>
      </c>
      <c r="Q10" t="str" cm="1">
        <f t="array" ref="Q10">_xll.RTD.TimeTick((Q$2+$O10)/1000)</f>
        <v>2020-07-30 11:35:22.993</v>
      </c>
      <c r="R10" t="str" cm="1">
        <f t="array" ref="R10">_xll.RTD.TimeTick((R$2+$O10)/1000)</f>
        <v>2020-07-30 11:35:23.943</v>
      </c>
      <c r="S10" t="str" cm="1">
        <f t="array" ref="S10">_xll.RTD.NotifyPath($N10,P10)</f>
        <v>2020-07-30 11:35:23.561</v>
      </c>
      <c r="T10" t="str" cm="1">
        <f t="array" ref="T10">_xll.RTD.NotifyPath($N10,Q10)</f>
        <v>2020-07-30 11:35:23.012</v>
      </c>
      <c r="U10" t="str" cm="1">
        <f t="array" ref="U10">_xll.RTD.NotifyPath($N10,R10)</f>
        <v>2020-07-30 11:35:23.957</v>
      </c>
    </row>
    <row r="11" spans="2:31" x14ac:dyDescent="0.2">
      <c r="B11" t="str" cm="1">
        <f t="array" aca="1" ref="B11" ca="1">_xlfn.CONCAT(CHAR(_xlfn.RANDARRAY(1,$B$2*$C$2,65,90,TRUE)))</f>
        <v>LLVAUBYOMQIUGIRTHPVGZGOFJYLFEE</v>
      </c>
      <c r="C11" s="2" t="s">
        <v>9</v>
      </c>
      <c r="D11" t="str">
        <f t="shared" si="2"/>
        <v>KVN</v>
      </c>
      <c r="E11" t="str">
        <f t="shared" si="2"/>
        <v>NGU</v>
      </c>
      <c r="F11" t="str">
        <f t="shared" si="2"/>
        <v>ITO</v>
      </c>
      <c r="G11" t="str">
        <f t="shared" si="2"/>
        <v>NXE</v>
      </c>
      <c r="H11" t="str">
        <f t="shared" si="2"/>
        <v>OEW</v>
      </c>
      <c r="I11" t="str">
        <f t="shared" si="2"/>
        <v>PWO</v>
      </c>
      <c r="J11" t="str">
        <f t="shared" si="2"/>
        <v>YHW</v>
      </c>
      <c r="K11" t="str">
        <f t="shared" si="2"/>
        <v>DJM</v>
      </c>
      <c r="L11" t="str">
        <f t="shared" si="2"/>
        <v>DZS</v>
      </c>
      <c r="M11" t="str">
        <f t="shared" si="2"/>
        <v>YJK</v>
      </c>
      <c r="N11" t="str">
        <f t="shared" si="3"/>
        <v>KVN.NGU.ITO.NXE.OEW.PWO.YHW.DJM.DZS.YJK</v>
      </c>
      <c r="O11" s="1">
        <v>79</v>
      </c>
      <c r="P11" t="str" cm="1">
        <f t="array" ref="P11">_xll.RTD.TimeTick((P$2+$O11)/1000)</f>
        <v>2020-07-30 11:35:23.428</v>
      </c>
      <c r="Q11" t="str" cm="1">
        <f t="array" ref="Q11">_xll.RTD.TimeTick((Q$2+$O11)/1000)</f>
        <v>2020-07-30 11:35:23.808</v>
      </c>
      <c r="R11" t="str" cm="1">
        <f t="array" ref="R11">_xll.RTD.TimeTick((R$2+$O11)/1000)</f>
        <v>2020-07-30 11:35:23.276</v>
      </c>
      <c r="S11" t="str" cm="1">
        <f t="array" ref="S11">_xll.RTD.NotifyPath($N11,P11)</f>
        <v>2020-07-30 11:35:23.432</v>
      </c>
      <c r="T11" t="str" cm="1">
        <f t="array" ref="T11">_xll.RTD.NotifyPath($N11,Q11)</f>
        <v>2020-07-30 11:35:23.827</v>
      </c>
      <c r="U11" t="str" cm="1">
        <f t="array" ref="U11">_xll.RTD.NotifyPath($N11,R11)</f>
        <v>2020-07-30 11:35:23.299</v>
      </c>
    </row>
    <row r="12" spans="2:31" x14ac:dyDescent="0.2">
      <c r="B12" t="str" cm="1">
        <f t="array" aca="1" ref="B12" ca="1">_xlfn.CONCAT(CHAR(_xlfn.RANDARRAY(1,$B$2*$C$2,65,90,TRUE)))</f>
        <v>AEMTXLUQCPIBXZJVSDPVSGEXWEXFPS</v>
      </c>
      <c r="C12" s="2" t="s">
        <v>10</v>
      </c>
      <c r="D12" t="str">
        <f t="shared" si="2"/>
        <v>RPC</v>
      </c>
      <c r="E12" t="str">
        <f t="shared" si="2"/>
        <v>VFH</v>
      </c>
      <c r="F12" t="str">
        <f t="shared" si="2"/>
        <v>TUL</v>
      </c>
      <c r="G12" t="str">
        <f t="shared" si="2"/>
        <v>SGF</v>
      </c>
      <c r="H12" t="str">
        <f t="shared" si="2"/>
        <v>SEQ</v>
      </c>
      <c r="I12" t="str">
        <f t="shared" si="2"/>
        <v>VKI</v>
      </c>
      <c r="J12" t="str">
        <f t="shared" si="2"/>
        <v>VVQ</v>
      </c>
      <c r="K12" t="str">
        <f t="shared" si="2"/>
        <v>GMR</v>
      </c>
      <c r="L12" t="str">
        <f t="shared" si="2"/>
        <v>TKQ</v>
      </c>
      <c r="M12" t="str">
        <f t="shared" si="2"/>
        <v>IWO</v>
      </c>
      <c r="N12" t="str">
        <f t="shared" si="3"/>
        <v>RPC.VFH.TUL.SGF.SEQ.VKI.VVQ.GMR.TKQ.IWO</v>
      </c>
      <c r="O12" s="1">
        <v>97</v>
      </c>
      <c r="P12" t="str" cm="1">
        <f t="array" ref="P12">_xll.RTD.TimeTick((P$2+$O12)/1000)</f>
        <v>2020-07-30 11:35:23.896</v>
      </c>
      <c r="Q12" t="str" cm="1">
        <f t="array" ref="Q12">_xll.RTD.TimeTick((Q$2+$O12)/1000)</f>
        <v>2020-07-30 11:35:23.373</v>
      </c>
      <c r="R12" t="str" cm="1">
        <f t="array" ref="R12">_xll.RTD.TimeTick((R$2+$O12)/1000)</f>
        <v>2020-07-30 11:35:23.444</v>
      </c>
      <c r="S12" t="str" cm="1">
        <f t="array" ref="S12">_xll.RTD.NotifyPath($N12,P12)</f>
        <v>2020-07-30 11:35:23.920</v>
      </c>
      <c r="T12" t="str" cm="1">
        <f t="array" ref="T12">_xll.RTD.NotifyPath($N12,Q12)</f>
        <v>2020-07-30 11:35:23.376</v>
      </c>
      <c r="U12" t="str" cm="1">
        <f t="array" ref="U12">_xll.RTD.NotifyPath($N12,R12)</f>
        <v>2020-07-30 11:35:23.468</v>
      </c>
    </row>
    <row r="15" spans="2:31" x14ac:dyDescent="0.2">
      <c r="D15" t="str">
        <f>D3</f>
        <v>PIL</v>
      </c>
      <c r="E15" t="str">
        <f>_xlfn.TEXTJOIN(".",TRUE,$D3:E3)</f>
        <v>PIL.NBI</v>
      </c>
      <c r="F15" t="str">
        <f>_xlfn.TEXTJOIN(".",TRUE,$D3:F3)</f>
        <v>PIL.NBI.JMP</v>
      </c>
      <c r="G15" t="str">
        <f>_xlfn.TEXTJOIN(".",TRUE,$D3:G3)</f>
        <v>PIL.NBI.JMP.WJQ</v>
      </c>
      <c r="H15" t="str">
        <f>_xlfn.TEXTJOIN(".",TRUE,$D3:H3)</f>
        <v>PIL.NBI.JMP.WJQ.RJV</v>
      </c>
      <c r="I15" t="str">
        <f>_xlfn.TEXTJOIN(".",TRUE,$D3:I3)</f>
        <v>PIL.NBI.JMP.WJQ.RJV.CNX</v>
      </c>
      <c r="J15" t="str">
        <f>_xlfn.TEXTJOIN(".",TRUE,$D3:J3)</f>
        <v>PIL.NBI.JMP.WJQ.RJV.CNX.WRE</v>
      </c>
      <c r="K15" t="str">
        <f>_xlfn.TEXTJOIN(".",TRUE,$D3:K3)</f>
        <v>PIL.NBI.JMP.WJQ.RJV.CNX.WRE.NDW</v>
      </c>
      <c r="L15" t="str">
        <f>_xlfn.TEXTJOIN(".",TRUE,$D3:L3)</f>
        <v>PIL.NBI.JMP.WJQ.RJV.CNX.WRE.NDW.TSJ</v>
      </c>
      <c r="M15" t="str">
        <f>_xlfn.TEXTJOIN(".",TRUE,$D3:M3)</f>
        <v>PIL.NBI.JMP.WJQ.RJV.CNX.WRE.NDW.TSJ.TOO</v>
      </c>
      <c r="O15" s="5" cm="1">
        <f t="array" ref="O15">_xll.RTD.SubscribePath(D15)</f>
        <v>44042.482914270833</v>
      </c>
      <c r="P15" s="5" cm="1">
        <f t="array" ref="P15">_xll.RTD.SubscribePath(E15)</f>
        <v>44042.482914270833</v>
      </c>
      <c r="Q15" s="5" cm="1">
        <f t="array" ref="Q15">_xll.RTD.SubscribePath(F15)</f>
        <v>44042.482914270833</v>
      </c>
      <c r="R15" s="5" cm="1">
        <f t="array" ref="R15">_xll.RTD.SubscribePath(G15)</f>
        <v>44042.482914270833</v>
      </c>
      <c r="S15" s="5" cm="1">
        <f t="array" ref="S15">_xll.RTD.SubscribePath(H15)</f>
        <v>44042.482914270833</v>
      </c>
      <c r="T15" s="5" cm="1">
        <f t="array" ref="T15">_xll.RTD.SubscribePath(I15)</f>
        <v>44042.482914270833</v>
      </c>
      <c r="U15" s="5" cm="1">
        <f t="array" ref="U15">_xll.RTD.SubscribePath(J15)</f>
        <v>44042.482914270833</v>
      </c>
      <c r="V15" s="5" cm="1">
        <f t="array" ref="V15">_xll.RTD.SubscribePath(K15)</f>
        <v>44042.482914270833</v>
      </c>
      <c r="W15" s="5" cm="1">
        <f t="array" ref="W15">_xll.RTD.SubscribePath(L15)</f>
        <v>44042.482914270833</v>
      </c>
      <c r="X15" s="5" cm="1">
        <f t="array" ref="X15">_xll.RTD.SubscribePath(M15)</f>
        <v>44042.482914270833</v>
      </c>
    </row>
    <row r="16" spans="2:31" x14ac:dyDescent="0.2">
      <c r="D16" t="str">
        <f t="shared" ref="D16:D24" si="4">D4</f>
        <v>HEK</v>
      </c>
      <c r="E16" t="str">
        <f>_xlfn.TEXTJOIN(".",TRUE,$D4:E4)</f>
        <v>HEK.YHB</v>
      </c>
      <c r="F16" t="str">
        <f>_xlfn.TEXTJOIN(".",TRUE,$D4:F4)</f>
        <v>HEK.YHB.LEE</v>
      </c>
      <c r="G16" t="str">
        <f>_xlfn.TEXTJOIN(".",TRUE,$D4:G4)</f>
        <v>HEK.YHB.LEE.TPI</v>
      </c>
      <c r="H16" t="str">
        <f>_xlfn.TEXTJOIN(".",TRUE,$D4:H4)</f>
        <v>HEK.YHB.LEE.TPI.MEJ</v>
      </c>
      <c r="I16" t="str">
        <f>_xlfn.TEXTJOIN(".",TRUE,$D4:I4)</f>
        <v>HEK.YHB.LEE.TPI.MEJ.IBC</v>
      </c>
      <c r="J16" t="str">
        <f>_xlfn.TEXTJOIN(".",TRUE,$D4:J4)</f>
        <v>HEK.YHB.LEE.TPI.MEJ.IBC.RAB</v>
      </c>
      <c r="K16" t="str">
        <f>_xlfn.TEXTJOIN(".",TRUE,$D4:K4)</f>
        <v>HEK.YHB.LEE.TPI.MEJ.IBC.RAB.RNW</v>
      </c>
      <c r="L16" t="str">
        <f>_xlfn.TEXTJOIN(".",TRUE,$D4:L4)</f>
        <v>HEK.YHB.LEE.TPI.MEJ.IBC.RAB.RNW.PTG</v>
      </c>
      <c r="M16" t="str">
        <f>_xlfn.TEXTJOIN(".",TRUE,$D4:M4)</f>
        <v>HEK.YHB.LEE.TPI.MEJ.IBC.RAB.RNW.PTG.MLV</v>
      </c>
      <c r="O16" s="5" cm="1">
        <f t="array" ref="O16">_xll.RTD.SubscribePath(D16)</f>
        <v>44042.482915324072</v>
      </c>
      <c r="P16" s="5" cm="1">
        <f t="array" ref="P16">_xll.RTD.SubscribePath(E16)</f>
        <v>44042.482915324072</v>
      </c>
      <c r="Q16" s="5" cm="1">
        <f t="array" ref="Q16">_xll.RTD.SubscribePath(F16)</f>
        <v>44042.482915324072</v>
      </c>
      <c r="R16" s="5" cm="1">
        <f t="array" ref="R16">_xll.RTD.SubscribePath(G16)</f>
        <v>44042.482915324072</v>
      </c>
      <c r="S16" s="5" cm="1">
        <f t="array" ref="S16">_xll.RTD.SubscribePath(H16)</f>
        <v>44042.482915324072</v>
      </c>
      <c r="T16" s="5" cm="1">
        <f t="array" ref="T16">_xll.RTD.SubscribePath(I16)</f>
        <v>44042.482915324072</v>
      </c>
      <c r="U16" s="5" cm="1">
        <f t="array" ref="U16">_xll.RTD.SubscribePath(J16)</f>
        <v>44042.482915324072</v>
      </c>
      <c r="V16" s="5" cm="1">
        <f t="array" ref="V16">_xll.RTD.SubscribePath(K16)</f>
        <v>44042.482915324072</v>
      </c>
      <c r="W16" s="5" cm="1">
        <f t="array" ref="W16">_xll.RTD.SubscribePath(L16)</f>
        <v>44042.482915324072</v>
      </c>
      <c r="X16" s="5" cm="1">
        <f t="array" ref="X16">_xll.RTD.SubscribePath(M16)</f>
        <v>44042.482915324072</v>
      </c>
    </row>
    <row r="17" spans="4:24" x14ac:dyDescent="0.2">
      <c r="D17" t="str">
        <f t="shared" si="4"/>
        <v>OJZ</v>
      </c>
      <c r="E17" t="str">
        <f>_xlfn.TEXTJOIN(".",TRUE,$D5:E5)</f>
        <v>OJZ.FTZ</v>
      </c>
      <c r="F17" t="str">
        <f>_xlfn.TEXTJOIN(".",TRUE,$D5:F5)</f>
        <v>OJZ.FTZ.SEL</v>
      </c>
      <c r="G17" t="str">
        <f>_xlfn.TEXTJOIN(".",TRUE,$D5:G5)</f>
        <v>OJZ.FTZ.SEL.GQN</v>
      </c>
      <c r="H17" t="str">
        <f>_xlfn.TEXTJOIN(".",TRUE,$D5:H5)</f>
        <v>OJZ.FTZ.SEL.GQN.RQU</v>
      </c>
      <c r="I17" t="str">
        <f>_xlfn.TEXTJOIN(".",TRUE,$D5:I5)</f>
        <v>OJZ.FTZ.SEL.GQN.RQU.DFG</v>
      </c>
      <c r="J17" t="str">
        <f>_xlfn.TEXTJOIN(".",TRUE,$D5:J5)</f>
        <v>OJZ.FTZ.SEL.GQN.RQU.DFG.ODG</v>
      </c>
      <c r="K17" t="str">
        <f>_xlfn.TEXTJOIN(".",TRUE,$D5:K5)</f>
        <v>OJZ.FTZ.SEL.GQN.RQU.DFG.ODG.AMV</v>
      </c>
      <c r="L17" t="str">
        <f>_xlfn.TEXTJOIN(".",TRUE,$D5:L5)</f>
        <v>OJZ.FTZ.SEL.GQN.RQU.DFG.ODG.AMV.JWU</v>
      </c>
      <c r="M17" t="str">
        <f>_xlfn.TEXTJOIN(".",TRUE,$D5:M5)</f>
        <v>OJZ.FTZ.SEL.GQN.RQU.DFG.ODG.AMV.JWU.IBR</v>
      </c>
      <c r="O17" s="5" cm="1">
        <f t="array" ref="O17">_xll.RTD.SubscribePath(D17)</f>
        <v>44042.482912939813</v>
      </c>
      <c r="P17" s="5" cm="1">
        <f t="array" ref="P17">_xll.RTD.SubscribePath(E17)</f>
        <v>44042.482912939813</v>
      </c>
      <c r="Q17" s="5" cm="1">
        <f t="array" ref="Q17">_xll.RTD.SubscribePath(F17)</f>
        <v>44042.482912939813</v>
      </c>
      <c r="R17" s="5" cm="1">
        <f t="array" ref="R17">_xll.RTD.SubscribePath(G17)</f>
        <v>44042.482912939813</v>
      </c>
      <c r="S17" s="5" cm="1">
        <f t="array" ref="S17">_xll.RTD.SubscribePath(H17)</f>
        <v>44042.482912939813</v>
      </c>
      <c r="T17" s="5" cm="1">
        <f t="array" ref="T17">_xll.RTD.SubscribePath(I17)</f>
        <v>44042.482912939813</v>
      </c>
      <c r="U17" s="5" cm="1">
        <f t="array" ref="U17">_xll.RTD.SubscribePath(J17)</f>
        <v>44042.482912939813</v>
      </c>
      <c r="V17" s="5" cm="1">
        <f t="array" ref="V17">_xll.RTD.SubscribePath(K17)</f>
        <v>44042.482912939813</v>
      </c>
      <c r="W17" s="5" cm="1">
        <f t="array" ref="W17">_xll.RTD.SubscribePath(L17)</f>
        <v>44042.482912939813</v>
      </c>
      <c r="X17" s="5" cm="1">
        <f t="array" ref="X17">_xll.RTD.SubscribePath(M17)</f>
        <v>44042.482912939813</v>
      </c>
    </row>
    <row r="18" spans="4:24" x14ac:dyDescent="0.2">
      <c r="D18" t="str">
        <f t="shared" si="4"/>
        <v>CAQ</v>
      </c>
      <c r="E18" t="str">
        <f>_xlfn.TEXTJOIN(".",TRUE,$D6:E6)</f>
        <v>CAQ.OZG</v>
      </c>
      <c r="F18" t="str">
        <f>_xlfn.TEXTJOIN(".",TRUE,$D6:F6)</f>
        <v>CAQ.OZG.PEI</v>
      </c>
      <c r="G18" t="str">
        <f>_xlfn.TEXTJOIN(".",TRUE,$D6:G6)</f>
        <v>CAQ.OZG.PEI.RZX</v>
      </c>
      <c r="H18" t="str">
        <f>_xlfn.TEXTJOIN(".",TRUE,$D6:H6)</f>
        <v>CAQ.OZG.PEI.RZX.JYJ</v>
      </c>
      <c r="I18" t="str">
        <f>_xlfn.TEXTJOIN(".",TRUE,$D6:I6)</f>
        <v>CAQ.OZG.PEI.RZX.JYJ.UJZ</v>
      </c>
      <c r="J18" t="str">
        <f>_xlfn.TEXTJOIN(".",TRUE,$D6:J6)</f>
        <v>CAQ.OZG.PEI.RZX.JYJ.UJZ.AEZ</v>
      </c>
      <c r="K18" t="str">
        <f>_xlfn.TEXTJOIN(".",TRUE,$D6:K6)</f>
        <v>CAQ.OZG.PEI.RZX.JYJ.UJZ.AEZ.GFF</v>
      </c>
      <c r="L18" t="str">
        <f>_xlfn.TEXTJOIN(".",TRUE,$D6:L6)</f>
        <v>CAQ.OZG.PEI.RZX.JYJ.UJZ.AEZ.GFF.UVK</v>
      </c>
      <c r="M18" t="str">
        <f>_xlfn.TEXTJOIN(".",TRUE,$D6:M6)</f>
        <v>CAQ.OZG.PEI.RZX.JYJ.UJZ.AEZ.GFF.UVK.SZY</v>
      </c>
      <c r="O18" s="5" cm="1">
        <f t="array" ref="O18">_xll.RTD.SubscribePath(D18)</f>
        <v>44042.482910115737</v>
      </c>
      <c r="P18" s="5" cm="1">
        <f t="array" ref="P18">_xll.RTD.SubscribePath(E18)</f>
        <v>44042.482910115737</v>
      </c>
      <c r="Q18" s="5" cm="1">
        <f t="array" ref="Q18">_xll.RTD.SubscribePath(F18)</f>
        <v>44042.482910115737</v>
      </c>
      <c r="R18" s="5" cm="1">
        <f t="array" ref="R18">_xll.RTD.SubscribePath(G18)</f>
        <v>44042.482910115737</v>
      </c>
      <c r="S18" s="5" cm="1">
        <f t="array" ref="S18">_xll.RTD.SubscribePath(H18)</f>
        <v>44042.482910115737</v>
      </c>
      <c r="T18" s="5" cm="1">
        <f t="array" ref="T18">_xll.RTD.SubscribePath(I18)</f>
        <v>44042.482910115737</v>
      </c>
      <c r="U18" s="5" cm="1">
        <f t="array" ref="U18">_xll.RTD.SubscribePath(J18)</f>
        <v>44042.482910115737</v>
      </c>
      <c r="V18" s="5" cm="1">
        <f t="array" ref="V18">_xll.RTD.SubscribePath(K18)</f>
        <v>44042.482910115737</v>
      </c>
      <c r="W18" s="5" cm="1">
        <f t="array" ref="W18">_xll.RTD.SubscribePath(L18)</f>
        <v>44042.482910115737</v>
      </c>
      <c r="X18" s="5" cm="1">
        <f t="array" ref="X18">_xll.RTD.SubscribePath(M18)</f>
        <v>44042.482910115737</v>
      </c>
    </row>
    <row r="19" spans="4:24" x14ac:dyDescent="0.2">
      <c r="D19" t="str">
        <f t="shared" si="4"/>
        <v>FEL</v>
      </c>
      <c r="E19" t="str">
        <f>_xlfn.TEXTJOIN(".",TRUE,$D7:E7)</f>
        <v>FEL.VRV</v>
      </c>
      <c r="F19" t="str">
        <f>_xlfn.TEXTJOIN(".",TRUE,$D7:F7)</f>
        <v>FEL.VRV.QQH</v>
      </c>
      <c r="G19" t="str">
        <f>_xlfn.TEXTJOIN(".",TRUE,$D7:G7)</f>
        <v>FEL.VRV.QQH.PJM</v>
      </c>
      <c r="H19" t="str">
        <f>_xlfn.TEXTJOIN(".",TRUE,$D7:H7)</f>
        <v>FEL.VRV.QQH.PJM.LXR</v>
      </c>
      <c r="I19" t="str">
        <f>_xlfn.TEXTJOIN(".",TRUE,$D7:I7)</f>
        <v>FEL.VRV.QQH.PJM.LXR.KAR</v>
      </c>
      <c r="J19" t="str">
        <f>_xlfn.TEXTJOIN(".",TRUE,$D7:J7)</f>
        <v>FEL.VRV.QQH.PJM.LXR.KAR.GBV</v>
      </c>
      <c r="K19" t="str">
        <f>_xlfn.TEXTJOIN(".",TRUE,$D7:K7)</f>
        <v>FEL.VRV.QQH.PJM.LXR.KAR.GBV.JRV</v>
      </c>
      <c r="L19" t="str">
        <f>_xlfn.TEXTJOIN(".",TRUE,$D7:L7)</f>
        <v>FEL.VRV.QQH.PJM.LXR.KAR.GBV.JRV.VJZ</v>
      </c>
      <c r="M19" t="str">
        <f>_xlfn.TEXTJOIN(".",TRUE,$D7:M7)</f>
        <v>FEL.VRV.QQH.PJM.LXR.KAR.GBV.JRV.VJZ.EFD</v>
      </c>
      <c r="O19" s="5" cm="1">
        <f t="array" ref="O19">_xll.RTD.SubscribePath(D19)</f>
        <v>44042.482913726853</v>
      </c>
      <c r="P19" s="5" cm="1">
        <f t="array" ref="P19">_xll.RTD.SubscribePath(E19)</f>
        <v>44042.482913726853</v>
      </c>
      <c r="Q19" s="5" cm="1">
        <f t="array" ref="Q19">_xll.RTD.SubscribePath(F19)</f>
        <v>44042.482913726853</v>
      </c>
      <c r="R19" s="5" cm="1">
        <f t="array" ref="R19">_xll.RTD.SubscribePath(G19)</f>
        <v>44042.482913726853</v>
      </c>
      <c r="S19" s="5" cm="1">
        <f t="array" ref="S19">_xll.RTD.SubscribePath(H19)</f>
        <v>44042.482913726853</v>
      </c>
      <c r="T19" s="5" cm="1">
        <f t="array" ref="T19">_xll.RTD.SubscribePath(I19)</f>
        <v>44042.482913726853</v>
      </c>
      <c r="U19" s="5" cm="1">
        <f t="array" ref="U19">_xll.RTD.SubscribePath(J19)</f>
        <v>44042.482913726853</v>
      </c>
      <c r="V19" s="5" cm="1">
        <f t="array" ref="V19">_xll.RTD.SubscribePath(K19)</f>
        <v>44042.482913726853</v>
      </c>
      <c r="W19" s="5" cm="1">
        <f t="array" ref="W19">_xll.RTD.SubscribePath(L19)</f>
        <v>44042.482913726853</v>
      </c>
      <c r="X19" s="5" cm="1">
        <f t="array" ref="X19">_xll.RTD.SubscribePath(M19)</f>
        <v>44042.482913726853</v>
      </c>
    </row>
    <row r="20" spans="4:24" x14ac:dyDescent="0.2">
      <c r="D20" t="str">
        <f t="shared" si="4"/>
        <v>UVD</v>
      </c>
      <c r="E20" t="str">
        <f>_xlfn.TEXTJOIN(".",TRUE,$D8:E8)</f>
        <v>UVD.UMR</v>
      </c>
      <c r="F20" t="str">
        <f>_xlfn.TEXTJOIN(".",TRUE,$D8:F8)</f>
        <v>UVD.UMR.ECX</v>
      </c>
      <c r="G20" t="str">
        <f>_xlfn.TEXTJOIN(".",TRUE,$D8:G8)</f>
        <v>UVD.UMR.ECX.UUX</v>
      </c>
      <c r="H20" t="str">
        <f>_xlfn.TEXTJOIN(".",TRUE,$D8:H8)</f>
        <v>UVD.UMR.ECX.UUX.AMY</v>
      </c>
      <c r="I20" t="str">
        <f>_xlfn.TEXTJOIN(".",TRUE,$D8:I8)</f>
        <v>UVD.UMR.ECX.UUX.AMY.VDA</v>
      </c>
      <c r="J20" t="str">
        <f>_xlfn.TEXTJOIN(".",TRUE,$D8:J8)</f>
        <v>UVD.UMR.ECX.UUX.AMY.VDA.PXB</v>
      </c>
      <c r="K20" t="str">
        <f>_xlfn.TEXTJOIN(".",TRUE,$D8:K8)</f>
        <v>UVD.UMR.ECX.UUX.AMY.VDA.PXB.CGH</v>
      </c>
      <c r="L20" t="str">
        <f>_xlfn.TEXTJOIN(".",TRUE,$D8:L8)</f>
        <v>UVD.UMR.ECX.UUX.AMY.VDA.PXB.CGH.QDZ</v>
      </c>
      <c r="M20" t="str">
        <f>_xlfn.TEXTJOIN(".",TRUE,$D8:M8)</f>
        <v>UVD.UMR.ECX.UUX.AMY.VDA.PXB.CGH.QDZ.VTL</v>
      </c>
      <c r="O20" s="5" cm="1">
        <f t="array" ref="O20">_xll.RTD.SubscribePath(D20)</f>
        <v>44042.482916168985</v>
      </c>
      <c r="P20" s="5" cm="1">
        <f t="array" ref="P20">_xll.RTD.SubscribePath(E20)</f>
        <v>44042.482916168985</v>
      </c>
      <c r="Q20" s="5" cm="1">
        <f t="array" ref="Q20">_xll.RTD.SubscribePath(F20)</f>
        <v>44042.482916168985</v>
      </c>
      <c r="R20" s="5" cm="1">
        <f t="array" ref="R20">_xll.RTD.SubscribePath(G20)</f>
        <v>44042.482916168985</v>
      </c>
      <c r="S20" s="5" cm="1">
        <f t="array" ref="S20">_xll.RTD.SubscribePath(H20)</f>
        <v>44042.482916168985</v>
      </c>
      <c r="T20" s="5" cm="1">
        <f t="array" ref="T20">_xll.RTD.SubscribePath(I20)</f>
        <v>44042.482916168985</v>
      </c>
      <c r="U20" s="5" cm="1">
        <f t="array" ref="U20">_xll.RTD.SubscribePath(J20)</f>
        <v>44042.482916168985</v>
      </c>
      <c r="V20" s="5" cm="1">
        <f t="array" ref="V20">_xll.RTD.SubscribePath(K20)</f>
        <v>44042.482916168985</v>
      </c>
      <c r="W20" s="5" cm="1">
        <f t="array" ref="W20">_xll.RTD.SubscribePath(L20)</f>
        <v>44042.482916168985</v>
      </c>
      <c r="X20" s="5" cm="1">
        <f t="array" ref="X20">_xll.RTD.SubscribePath(M20)</f>
        <v>44042.482916168985</v>
      </c>
    </row>
    <row r="21" spans="4:24" x14ac:dyDescent="0.2">
      <c r="D21" t="str">
        <f t="shared" si="4"/>
        <v>DJB</v>
      </c>
      <c r="E21" t="str">
        <f>_xlfn.TEXTJOIN(".",TRUE,$D9:E9)</f>
        <v>DJB.JTW</v>
      </c>
      <c r="F21" t="str">
        <f>_xlfn.TEXTJOIN(".",TRUE,$D9:F9)</f>
        <v>DJB.JTW.KJR</v>
      </c>
      <c r="G21" t="str">
        <f>_xlfn.TEXTJOIN(".",TRUE,$D9:G9)</f>
        <v>DJB.JTW.KJR.DQC</v>
      </c>
      <c r="H21" t="str">
        <f>_xlfn.TEXTJOIN(".",TRUE,$D9:H9)</f>
        <v>DJB.JTW.KJR.DQC.FGN</v>
      </c>
      <c r="I21" t="str">
        <f>_xlfn.TEXTJOIN(".",TRUE,$D9:I9)</f>
        <v>DJB.JTW.KJR.DQC.FGN.DHS</v>
      </c>
      <c r="J21" t="str">
        <f>_xlfn.TEXTJOIN(".",TRUE,$D9:J9)</f>
        <v>DJB.JTW.KJR.DQC.FGN.DHS.JRD</v>
      </c>
      <c r="K21" t="str">
        <f>_xlfn.TEXTJOIN(".",TRUE,$D9:K9)</f>
        <v>DJB.JTW.KJR.DQC.FGN.DHS.JRD.LHZ</v>
      </c>
      <c r="L21" t="str">
        <f>_xlfn.TEXTJOIN(".",TRUE,$D9:L9)</f>
        <v>DJB.JTW.KJR.DQC.FGN.DHS.JRD.LHZ.MGX</v>
      </c>
      <c r="M21" t="str">
        <f>_xlfn.TEXTJOIN(".",TRUE,$D9:M9)</f>
        <v>DJB.JTW.KJR.DQC.FGN.DHS.JRD.LHZ.MGX.EAG</v>
      </c>
      <c r="O21" s="5" cm="1">
        <f t="array" ref="O21">_xll.RTD.SubscribePath(D21)</f>
        <v>44042.482916168985</v>
      </c>
      <c r="P21" s="5" cm="1">
        <f t="array" ref="P21">_xll.RTD.SubscribePath(E21)</f>
        <v>44042.482916168985</v>
      </c>
      <c r="Q21" s="5" cm="1">
        <f t="array" ref="Q21">_xll.RTD.SubscribePath(F21)</f>
        <v>44042.482916168985</v>
      </c>
      <c r="R21" s="5" cm="1">
        <f t="array" ref="R21">_xll.RTD.SubscribePath(G21)</f>
        <v>44042.482916168985</v>
      </c>
      <c r="S21" s="5" cm="1">
        <f t="array" ref="S21">_xll.RTD.SubscribePath(H21)</f>
        <v>44042.482916168985</v>
      </c>
      <c r="T21" s="5" cm="1">
        <f t="array" ref="T21">_xll.RTD.SubscribePath(I21)</f>
        <v>44042.482916168985</v>
      </c>
      <c r="U21" s="5" cm="1">
        <f t="array" ref="U21">_xll.RTD.SubscribePath(J21)</f>
        <v>44042.482916168985</v>
      </c>
      <c r="V21" s="5" cm="1">
        <f t="array" ref="V21">_xll.RTD.SubscribePath(K21)</f>
        <v>44042.482916168985</v>
      </c>
      <c r="W21" s="5" cm="1">
        <f t="array" ref="W21">_xll.RTD.SubscribePath(L21)</f>
        <v>44042.482916168985</v>
      </c>
      <c r="X21" s="5" cm="1">
        <f t="array" ref="X21">_xll.RTD.SubscribePath(M21)</f>
        <v>44042.482916168985</v>
      </c>
    </row>
    <row r="22" spans="4:24" x14ac:dyDescent="0.2">
      <c r="D22" t="str">
        <f t="shared" si="4"/>
        <v>DGS</v>
      </c>
      <c r="E22" t="str">
        <f>_xlfn.TEXTJOIN(".",TRUE,$D10:E10)</f>
        <v>DGS.QDY</v>
      </c>
      <c r="F22" t="str">
        <f>_xlfn.TEXTJOIN(".",TRUE,$D10:F10)</f>
        <v>DGS.QDY.BUE</v>
      </c>
      <c r="G22" t="str">
        <f>_xlfn.TEXTJOIN(".",TRUE,$D10:G10)</f>
        <v>DGS.QDY.BUE.UIQ</v>
      </c>
      <c r="H22" t="str">
        <f>_xlfn.TEXTJOIN(".",TRUE,$D10:H10)</f>
        <v>DGS.QDY.BUE.UIQ.TTL</v>
      </c>
      <c r="I22" t="str">
        <f>_xlfn.TEXTJOIN(".",TRUE,$D10:I10)</f>
        <v>DGS.QDY.BUE.UIQ.TTL.EBT</v>
      </c>
      <c r="J22" t="str">
        <f>_xlfn.TEXTJOIN(".",TRUE,$D10:J10)</f>
        <v>DGS.QDY.BUE.UIQ.TTL.EBT.SRX</v>
      </c>
      <c r="K22" t="str">
        <f>_xlfn.TEXTJOIN(".",TRUE,$D10:K10)</f>
        <v>DGS.QDY.BUE.UIQ.TTL.EBT.SRX.VCB</v>
      </c>
      <c r="L22" t="str">
        <f>_xlfn.TEXTJOIN(".",TRUE,$D10:L10)</f>
        <v>DGS.QDY.BUE.UIQ.TTL.EBT.SRX.VCB.XUC</v>
      </c>
      <c r="M22" t="str">
        <f>_xlfn.TEXTJOIN(".",TRUE,$D10:M10)</f>
        <v>DGS.QDY.BUE.UIQ.TTL.EBT.SRX.VCB.XUC.CRG</v>
      </c>
      <c r="O22" s="5" cm="1">
        <f t="array" ref="O22">_xll.RTD.SubscribePath(D22)</f>
        <v>44042.482916168985</v>
      </c>
      <c r="P22" s="5" cm="1">
        <f t="array" ref="P22">_xll.RTD.SubscribePath(E22)</f>
        <v>44042.482916168985</v>
      </c>
      <c r="Q22" s="5" cm="1">
        <f t="array" ref="Q22">_xll.RTD.SubscribePath(F22)</f>
        <v>44042.482916168985</v>
      </c>
      <c r="R22" s="5" cm="1">
        <f t="array" ref="R22">_xll.RTD.SubscribePath(G22)</f>
        <v>44042.482916168985</v>
      </c>
      <c r="S22" s="5" cm="1">
        <f t="array" ref="S22">_xll.RTD.SubscribePath(H22)</f>
        <v>44042.482916168985</v>
      </c>
      <c r="T22" s="5" cm="1">
        <f t="array" ref="T22">_xll.RTD.SubscribePath(I22)</f>
        <v>44042.482916168985</v>
      </c>
      <c r="U22" s="5" cm="1">
        <f t="array" ref="U22">_xll.RTD.SubscribePath(J22)</f>
        <v>44042.482916168985</v>
      </c>
      <c r="V22" s="5" cm="1">
        <f t="array" ref="V22">_xll.RTD.SubscribePath(K22)</f>
        <v>44042.482916168985</v>
      </c>
      <c r="W22" s="5" cm="1">
        <f t="array" ref="W22">_xll.RTD.SubscribePath(L22)</f>
        <v>44042.482916168985</v>
      </c>
      <c r="X22" s="5" cm="1">
        <f t="array" ref="X22">_xll.RTD.SubscribePath(M22)</f>
        <v>44042.482916168985</v>
      </c>
    </row>
    <row r="23" spans="4:24" x14ac:dyDescent="0.2">
      <c r="D23" t="str">
        <f t="shared" si="4"/>
        <v>KVN</v>
      </c>
      <c r="E23" t="str">
        <f>_xlfn.TEXTJOIN(".",TRUE,$D11:E11)</f>
        <v>KVN.NGU</v>
      </c>
      <c r="F23" t="str">
        <f>_xlfn.TEXTJOIN(".",TRUE,$D11:F11)</f>
        <v>KVN.NGU.ITO</v>
      </c>
      <c r="G23" t="str">
        <f>_xlfn.TEXTJOIN(".",TRUE,$D11:G11)</f>
        <v>KVN.NGU.ITO.NXE</v>
      </c>
      <c r="H23" t="str">
        <f>_xlfn.TEXTJOIN(".",TRUE,$D11:H11)</f>
        <v>KVN.NGU.ITO.NXE.OEW</v>
      </c>
      <c r="I23" t="str">
        <f>_xlfn.TEXTJOIN(".",TRUE,$D11:I11)</f>
        <v>KVN.NGU.ITO.NXE.OEW.PWO</v>
      </c>
      <c r="J23" t="str">
        <f>_xlfn.TEXTJOIN(".",TRUE,$D11:J11)</f>
        <v>KVN.NGU.ITO.NXE.OEW.PWO.YHW</v>
      </c>
      <c r="K23" t="str">
        <f>_xlfn.TEXTJOIN(".",TRUE,$D11:K11)</f>
        <v>KVN.NGU.ITO.NXE.OEW.PWO.YHW.DJM</v>
      </c>
      <c r="L23" t="str">
        <f>_xlfn.TEXTJOIN(".",TRUE,$D11:L11)</f>
        <v>KVN.NGU.ITO.NXE.OEW.PWO.YHW.DJM.DZS</v>
      </c>
      <c r="M23" t="str">
        <f>_xlfn.TEXTJOIN(".",TRUE,$D11:M11)</f>
        <v>KVN.NGU.ITO.NXE.OEW.PWO.YHW.DJM.DZS.YJK</v>
      </c>
      <c r="O23" s="5" cm="1">
        <f t="array" ref="O23">_xll.RTD.SubscribePath(D23)</f>
        <v>44042.482914664353</v>
      </c>
      <c r="P23" s="5" cm="1">
        <f t="array" ref="P23">_xll.RTD.SubscribePath(E23)</f>
        <v>44042.482914664353</v>
      </c>
      <c r="Q23" s="5" cm="1">
        <f t="array" ref="Q23">_xll.RTD.SubscribePath(F23)</f>
        <v>44042.482914664353</v>
      </c>
      <c r="R23" s="5" cm="1">
        <f t="array" ref="R23">_xll.RTD.SubscribePath(G23)</f>
        <v>44042.482914664353</v>
      </c>
      <c r="S23" s="5" cm="1">
        <f t="array" ref="S23">_xll.RTD.SubscribePath(H23)</f>
        <v>44042.482914664353</v>
      </c>
      <c r="T23" s="5" cm="1">
        <f t="array" ref="T23">_xll.RTD.SubscribePath(I23)</f>
        <v>44042.482914664353</v>
      </c>
      <c r="U23" s="5" cm="1">
        <f t="array" ref="U23">_xll.RTD.SubscribePath(J23)</f>
        <v>44042.482914664353</v>
      </c>
      <c r="V23" s="5" cm="1">
        <f t="array" ref="V23">_xll.RTD.SubscribePath(K23)</f>
        <v>44042.482914664353</v>
      </c>
      <c r="W23" s="5" cm="1">
        <f t="array" ref="W23">_xll.RTD.SubscribePath(L23)</f>
        <v>44042.482914664353</v>
      </c>
      <c r="X23" s="5" cm="1">
        <f t="array" ref="X23">_xll.RTD.SubscribePath(M23)</f>
        <v>44042.482914664353</v>
      </c>
    </row>
    <row r="24" spans="4:24" x14ac:dyDescent="0.2">
      <c r="D24" t="str">
        <f t="shared" si="4"/>
        <v>RPC</v>
      </c>
      <c r="E24" t="str">
        <f>_xlfn.TEXTJOIN(".",TRUE,$D12:E12)</f>
        <v>RPC.VFH</v>
      </c>
      <c r="F24" t="str">
        <f>_xlfn.TEXTJOIN(".",TRUE,$D12:F12)</f>
        <v>RPC.VFH.TUL</v>
      </c>
      <c r="G24" t="str">
        <f>_xlfn.TEXTJOIN(".",TRUE,$D12:G12)</f>
        <v>RPC.VFH.TUL.SGF</v>
      </c>
      <c r="H24" t="str">
        <f>_xlfn.TEXTJOIN(".",TRUE,$D12:H12)</f>
        <v>RPC.VFH.TUL.SGF.SEQ</v>
      </c>
      <c r="I24" t="str">
        <f>_xlfn.TEXTJOIN(".",TRUE,$D12:I12)</f>
        <v>RPC.VFH.TUL.SGF.SEQ.VKI</v>
      </c>
      <c r="J24" t="str">
        <f>_xlfn.TEXTJOIN(".",TRUE,$D12:J12)</f>
        <v>RPC.VFH.TUL.SGF.SEQ.VKI.VVQ</v>
      </c>
      <c r="K24" t="str">
        <f>_xlfn.TEXTJOIN(".",TRUE,$D12:K12)</f>
        <v>RPC.VFH.TUL.SGF.SEQ.VKI.VVQ.GMR</v>
      </c>
      <c r="L24" t="str">
        <f>_xlfn.TEXTJOIN(".",TRUE,$D12:L12)</f>
        <v>RPC.VFH.TUL.SGF.SEQ.VKI.VVQ.GMR.TKQ</v>
      </c>
      <c r="M24" t="str">
        <f>_xlfn.TEXTJOIN(".",TRUE,$D12:M12)</f>
        <v>RPC.VFH.TUL.SGF.SEQ.VKI.VVQ.GMR.TKQ.IWO</v>
      </c>
      <c r="O24" s="5" cm="1">
        <f t="array" ref="O24">_xll.RTD.SubscribePath(D24)</f>
        <v>44042.482915740744</v>
      </c>
      <c r="P24" s="5" cm="1">
        <f t="array" ref="P24">_xll.RTD.SubscribePath(E24)</f>
        <v>44042.482915740744</v>
      </c>
      <c r="Q24" s="5" cm="1">
        <f t="array" ref="Q24">_xll.RTD.SubscribePath(F24)</f>
        <v>44042.482915740744</v>
      </c>
      <c r="R24" s="5" cm="1">
        <f t="array" ref="R24">_xll.RTD.SubscribePath(G24)</f>
        <v>44042.482915740744</v>
      </c>
      <c r="S24" s="5" cm="1">
        <f t="array" ref="S24">_xll.RTD.SubscribePath(H24)</f>
        <v>44042.482915740744</v>
      </c>
      <c r="T24" s="5" cm="1">
        <f t="array" ref="T24">_xll.RTD.SubscribePath(I24)</f>
        <v>44042.482915740744</v>
      </c>
      <c r="U24" s="5" cm="1">
        <f t="array" ref="U24">_xll.RTD.SubscribePath(J24)</f>
        <v>44042.482915740744</v>
      </c>
      <c r="V24" s="5" cm="1">
        <f t="array" ref="V24">_xll.RTD.SubscribePath(K24)</f>
        <v>44042.482915740744</v>
      </c>
      <c r="W24" s="5" cm="1">
        <f t="array" ref="W24">_xll.RTD.SubscribePath(L24)</f>
        <v>44042.482915740744</v>
      </c>
      <c r="X24" s="5" cm="1">
        <f t="array" ref="X24">_xll.RTD.SubscribePath(M24)</f>
        <v>44042.482915740744</v>
      </c>
    </row>
    <row r="26" spans="4:24" x14ac:dyDescent="0.2">
      <c r="M26" s="3"/>
      <c r="O26" s="1" cm="1">
        <f t="array" ref="O26">Counter(O15,$M$26)</f>
        <v>64359</v>
      </c>
      <c r="P26" s="1" cm="1">
        <f t="array" ref="P26">Counter(P15,$M$26)</f>
        <v>64361</v>
      </c>
      <c r="Q26" s="1" cm="1">
        <f t="array" ref="Q26">Counter(Q15,$M$26)</f>
        <v>64366</v>
      </c>
      <c r="R26" s="1" cm="1">
        <f t="array" ref="R26">Counter(R15,$M$26)</f>
        <v>64363</v>
      </c>
      <c r="S26" s="1" cm="1">
        <f t="array" ref="S26">Counter(S15,$M$26)</f>
        <v>64360</v>
      </c>
      <c r="T26" s="1" cm="1">
        <f t="array" ref="T26">Counter(T15,$M$26)</f>
        <v>64362</v>
      </c>
      <c r="U26" s="1" cm="1">
        <f t="array" ref="U26">Counter(U15,$M$26)</f>
        <v>64367</v>
      </c>
      <c r="V26" s="1" cm="1">
        <f t="array" ref="V26">Counter(V15,$M$26)</f>
        <v>64368</v>
      </c>
      <c r="W26" s="1" cm="1">
        <f t="array" ref="W26">Counter(W15,$M$26)</f>
        <v>64364</v>
      </c>
      <c r="X26" s="1" cm="1">
        <f t="array" ref="X26">Counter(X15,$M$26)</f>
        <v>64365</v>
      </c>
    </row>
    <row r="27" spans="4:24" x14ac:dyDescent="0.2">
      <c r="M27">
        <f>MAX(O26:X35)</f>
        <v>64438</v>
      </c>
      <c r="O27" s="1" cm="1">
        <f t="array" ref="O27">Counter(O16,$M$26)</f>
        <v>64389</v>
      </c>
      <c r="P27" s="1" cm="1">
        <f t="array" ref="P27">Counter(P16,$M$26)</f>
        <v>64392</v>
      </c>
      <c r="Q27" s="1" cm="1">
        <f t="array" ref="Q27">Counter(Q16,$M$26)</f>
        <v>64395</v>
      </c>
      <c r="R27" s="1" cm="1">
        <f t="array" ref="R27">Counter(R16,$M$26)</f>
        <v>64394</v>
      </c>
      <c r="S27" s="1" cm="1">
        <f t="array" ref="S27">Counter(S16,$M$26)</f>
        <v>64391</v>
      </c>
      <c r="T27" s="1" cm="1">
        <f t="array" ref="T27">Counter(T16,$M$26)</f>
        <v>64398</v>
      </c>
      <c r="U27" s="1" cm="1">
        <f t="array" ref="U27">Counter(U16,$M$26)</f>
        <v>64396</v>
      </c>
      <c r="V27" s="1" cm="1">
        <f t="array" ref="V27">Counter(V16,$M$26)</f>
        <v>64397</v>
      </c>
      <c r="W27" s="1" cm="1">
        <f t="array" ref="W27">Counter(W16,$M$26)</f>
        <v>64390</v>
      </c>
      <c r="X27" s="1" cm="1">
        <f t="array" ref="X27">Counter(X16,$M$26)</f>
        <v>64393</v>
      </c>
    </row>
    <row r="28" spans="4:24" x14ac:dyDescent="0.2">
      <c r="M28" s="6" cm="1">
        <f t="array" ref="M28">MsgSec(M27,M26)</f>
        <v>274.04026845637583</v>
      </c>
      <c r="O28" s="1" cm="1">
        <f t="array" ref="O28">Counter(O17,$M$26)</f>
        <v>64339</v>
      </c>
      <c r="P28" s="1" cm="1">
        <f t="array" ref="P28">Counter(P17,$M$26)</f>
        <v>64348</v>
      </c>
      <c r="Q28" s="1" cm="1">
        <f t="array" ref="Q28">Counter(Q17,$M$26)</f>
        <v>64344</v>
      </c>
      <c r="R28" s="1" cm="1">
        <f t="array" ref="R28">Counter(R17,$M$26)</f>
        <v>64342</v>
      </c>
      <c r="S28" s="1" cm="1">
        <f t="array" ref="S28">Counter(S17,$M$26)</f>
        <v>64341</v>
      </c>
      <c r="T28" s="1" cm="1">
        <f t="array" ref="T28">Counter(T17,$M$26)</f>
        <v>64340</v>
      </c>
      <c r="U28" s="1" cm="1">
        <f t="array" ref="U28">Counter(U17,$M$26)</f>
        <v>64346</v>
      </c>
      <c r="V28" s="1" cm="1">
        <f t="array" ref="V28">Counter(V17,$M$26)</f>
        <v>64343</v>
      </c>
      <c r="W28" s="1" cm="1">
        <f t="array" ref="W28">Counter(W17,$M$26)</f>
        <v>64347</v>
      </c>
      <c r="X28" s="1" cm="1">
        <f t="array" ref="X28">Counter(X17,$M$26)</f>
        <v>64345</v>
      </c>
    </row>
    <row r="29" spans="4:24" x14ac:dyDescent="0.2">
      <c r="I29" s="4">
        <v>0</v>
      </c>
      <c r="O29" s="1" cm="1">
        <f t="array" ref="O29">Counter(O18,$M$26)</f>
        <v>64270</v>
      </c>
      <c r="P29" s="1" cm="1">
        <f t="array" ref="P29">Counter(P18,$M$26)</f>
        <v>64274</v>
      </c>
      <c r="Q29" s="1" cm="1">
        <f t="array" ref="Q29">Counter(Q18,$M$26)</f>
        <v>64285</v>
      </c>
      <c r="R29" s="1" cm="1">
        <f t="array" ref="R29">Counter(R18,$M$26)</f>
        <v>64271</v>
      </c>
      <c r="S29" s="1" cm="1">
        <f t="array" ref="S29">Counter(S18,$M$26)</f>
        <v>64280</v>
      </c>
      <c r="T29" s="1" cm="1">
        <f t="array" ref="T29">Counter(T18,$M$26)</f>
        <v>64281</v>
      </c>
      <c r="U29" s="1" cm="1">
        <f t="array" ref="U29">Counter(U18,$M$26)</f>
        <v>64292</v>
      </c>
      <c r="V29" s="1" cm="1">
        <f t="array" ref="V29">Counter(V18,$M$26)</f>
        <v>64291</v>
      </c>
      <c r="W29" s="1" cm="1">
        <f t="array" ref="W29">Counter(W18,$M$26)</f>
        <v>64278</v>
      </c>
      <c r="X29" s="1" cm="1">
        <f t="array" ref="X29">Counter(X18,$M$26)</f>
        <v>64284</v>
      </c>
    </row>
    <row r="30" spans="4:24" x14ac:dyDescent="0.2">
      <c r="O30" s="1" cm="1">
        <f t="array" ref="O30">Counter(O19,$M$26)</f>
        <v>64350</v>
      </c>
      <c r="P30" s="1" cm="1">
        <f t="array" ref="P30">Counter(P19,$M$26)</f>
        <v>64354</v>
      </c>
      <c r="Q30" s="1" cm="1">
        <f t="array" ref="Q30">Counter(Q19,$M$26)</f>
        <v>64353</v>
      </c>
      <c r="R30" s="1" cm="1">
        <f t="array" ref="R30">Counter(R19,$M$26)</f>
        <v>64351</v>
      </c>
      <c r="S30" s="1" cm="1">
        <f t="array" ref="S30">Counter(S19,$M$26)</f>
        <v>64355</v>
      </c>
      <c r="T30" s="1" cm="1">
        <f t="array" ref="T30">Counter(T19,$M$26)</f>
        <v>64358</v>
      </c>
      <c r="U30" s="1" cm="1">
        <f t="array" ref="U30">Counter(U19,$M$26)</f>
        <v>64357</v>
      </c>
      <c r="V30" s="1" cm="1">
        <f t="array" ref="V30">Counter(V19,$M$26)</f>
        <v>64356</v>
      </c>
      <c r="W30" s="1" cm="1">
        <f t="array" ref="W30">Counter(W19,$M$26)</f>
        <v>64349</v>
      </c>
      <c r="X30" s="1" cm="1">
        <f t="array" ref="X30">Counter(X19,$M$26)</f>
        <v>64352</v>
      </c>
    </row>
    <row r="31" spans="4:24" x14ac:dyDescent="0.2">
      <c r="O31" s="1" cm="1">
        <f t="array" ref="O31">Counter(O20,$M$26)</f>
        <v>64411</v>
      </c>
      <c r="P31" s="1" cm="1">
        <f t="array" ref="P31">Counter(P20,$M$26)</f>
        <v>64425</v>
      </c>
      <c r="Q31" s="1" cm="1">
        <f t="array" ref="Q31">Counter(Q20,$M$26)</f>
        <v>64428</v>
      </c>
      <c r="R31" s="1" cm="1">
        <f t="array" ref="R31">Counter(R20,$M$26)</f>
        <v>64435</v>
      </c>
      <c r="S31" s="1" cm="1">
        <f t="array" ref="S31">Counter(S20,$M$26)</f>
        <v>64414</v>
      </c>
      <c r="T31" s="1" cm="1">
        <f t="array" ref="T31">Counter(T20,$M$26)</f>
        <v>64417</v>
      </c>
      <c r="U31" s="1" cm="1">
        <f t="array" ref="U31">Counter(U20,$M$26)</f>
        <v>64426</v>
      </c>
      <c r="V31" s="1" cm="1">
        <f t="array" ref="V31">Counter(V20,$M$26)</f>
        <v>64415</v>
      </c>
      <c r="W31" s="1" cm="1">
        <f t="array" ref="W31">Counter(W20,$M$26)</f>
        <v>64423</v>
      </c>
      <c r="X31" s="1" cm="1">
        <f t="array" ref="X31">Counter(X20,$M$26)</f>
        <v>64433</v>
      </c>
    </row>
    <row r="32" spans="4:24" x14ac:dyDescent="0.2">
      <c r="O32" s="1" cm="1">
        <f t="array" ref="O32">Counter(O21,$M$26)</f>
        <v>64410</v>
      </c>
      <c r="P32" s="1" cm="1">
        <f t="array" ref="P32">Counter(P21,$M$26)</f>
        <v>64430</v>
      </c>
      <c r="Q32" s="1" cm="1">
        <f t="array" ref="Q32">Counter(Q21,$M$26)</f>
        <v>64431</v>
      </c>
      <c r="R32" s="1" cm="1">
        <f t="array" ref="R32">Counter(R21,$M$26)</f>
        <v>64437</v>
      </c>
      <c r="S32" s="1" cm="1">
        <f t="array" ref="S32">Counter(S21,$M$26)</f>
        <v>64432</v>
      </c>
      <c r="T32" s="1" cm="1">
        <f t="array" ref="T32">Counter(T21,$M$26)</f>
        <v>64409</v>
      </c>
      <c r="U32" s="1" cm="1">
        <f t="array" ref="U32">Counter(U21,$M$26)</f>
        <v>64436</v>
      </c>
      <c r="V32" s="1" cm="1">
        <f t="array" ref="V32">Counter(V21,$M$26)</f>
        <v>64422</v>
      </c>
      <c r="W32" s="1" cm="1">
        <f t="array" ref="W32">Counter(W21,$M$26)</f>
        <v>64418</v>
      </c>
      <c r="X32" s="1" cm="1">
        <f t="array" ref="X32">Counter(X21,$M$26)</f>
        <v>64413</v>
      </c>
    </row>
    <row r="33" spans="15:24" x14ac:dyDescent="0.2">
      <c r="O33" s="1" cm="1">
        <f t="array" ref="O33">Counter(O22,$M$26)</f>
        <v>64412</v>
      </c>
      <c r="P33" s="1" cm="1">
        <f t="array" ref="P33">Counter(P22,$M$26)</f>
        <v>64424</v>
      </c>
      <c r="Q33" s="1" cm="1">
        <f t="array" ref="Q33">Counter(Q22,$M$26)</f>
        <v>64416</v>
      </c>
      <c r="R33" s="1" cm="1">
        <f t="array" ref="R33">Counter(R22,$M$26)</f>
        <v>64427</v>
      </c>
      <c r="S33" s="1" cm="1">
        <f t="array" ref="S33">Counter(S22,$M$26)</f>
        <v>64419</v>
      </c>
      <c r="T33" s="1" cm="1">
        <f t="array" ref="T33">Counter(T22,$M$26)</f>
        <v>64434</v>
      </c>
      <c r="U33" s="1" cm="1">
        <f t="array" ref="U33">Counter(U22,$M$26)</f>
        <v>64429</v>
      </c>
      <c r="V33" s="1" cm="1">
        <f t="array" ref="V33">Counter(V22,$M$26)</f>
        <v>64421</v>
      </c>
      <c r="W33" s="1" cm="1">
        <f t="array" ref="W33">Counter(W22,$M$26)</f>
        <v>64438</v>
      </c>
      <c r="X33" s="1" cm="1">
        <f t="array" ref="X33">Counter(X22,$M$26)</f>
        <v>64420</v>
      </c>
    </row>
    <row r="34" spans="15:24" x14ac:dyDescent="0.2">
      <c r="O34" s="1" cm="1">
        <f t="array" ref="O34">Counter(O23,$M$26)</f>
        <v>64382</v>
      </c>
      <c r="P34" s="1" cm="1">
        <f t="array" ref="P34">Counter(P23,$M$26)</f>
        <v>64374</v>
      </c>
      <c r="Q34" s="1" cm="1">
        <f t="array" ref="Q34">Counter(Q23,$M$26)</f>
        <v>64373</v>
      </c>
      <c r="R34" s="1" cm="1">
        <f t="array" ref="R34">Counter(R23,$M$26)</f>
        <v>64384</v>
      </c>
      <c r="S34" s="1" cm="1">
        <f t="array" ref="S34">Counter(S23,$M$26)</f>
        <v>64388</v>
      </c>
      <c r="T34" s="1" cm="1">
        <f t="array" ref="T34">Counter(T23,$M$26)</f>
        <v>64378</v>
      </c>
      <c r="U34" s="1" cm="1">
        <f t="array" ref="U34">Counter(U23,$M$26)</f>
        <v>64377</v>
      </c>
      <c r="V34" s="1" cm="1">
        <f t="array" ref="V34">Counter(V23,$M$26)</f>
        <v>64376</v>
      </c>
      <c r="W34" s="1" cm="1">
        <f t="array" ref="W34">Counter(W23,$M$26)</f>
        <v>64379</v>
      </c>
      <c r="X34" s="1" cm="1">
        <f t="array" ref="X34">Counter(X23,$M$26)</f>
        <v>64387</v>
      </c>
    </row>
    <row r="35" spans="15:24" x14ac:dyDescent="0.2">
      <c r="O35" s="1" cm="1">
        <f t="array" ref="O35">Counter(O24,$M$26)</f>
        <v>64400</v>
      </c>
      <c r="P35" s="1" cm="1">
        <f t="array" ref="P35">Counter(P24,$M$26)</f>
        <v>64399</v>
      </c>
      <c r="Q35" s="1" cm="1">
        <f t="array" ref="Q35">Counter(Q24,$M$26)</f>
        <v>64407</v>
      </c>
      <c r="R35" s="1" cm="1">
        <f t="array" ref="R35">Counter(R24,$M$26)</f>
        <v>64404</v>
      </c>
      <c r="S35" s="1" cm="1">
        <f t="array" ref="S35">Counter(S24,$M$26)</f>
        <v>64405</v>
      </c>
      <c r="T35" s="1" cm="1">
        <f t="array" ref="T35">Counter(T24,$M$26)</f>
        <v>64401</v>
      </c>
      <c r="U35" s="1" cm="1">
        <f t="array" ref="U35">Counter(U24,$M$26)</f>
        <v>64402</v>
      </c>
      <c r="V35" s="1" cm="1">
        <f t="array" ref="V35">Counter(V24,$M$26)</f>
        <v>64408</v>
      </c>
      <c r="W35" s="1" cm="1">
        <f t="array" ref="W35">Counter(W24,$M$26)</f>
        <v>64406</v>
      </c>
      <c r="X35" s="1" cm="1">
        <f t="array" ref="X35">Counter(X24,$M$26)</f>
        <v>64403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Throttle">
                <anchor moveWithCells="1" sizeWithCells="1">
                  <from>
                    <xdr:col>4</xdr:col>
                    <xdr:colOff>457200</xdr:colOff>
                    <xdr:row>26</xdr:row>
                    <xdr:rowOff>0</xdr:rowOff>
                  </from>
                  <to>
                    <xdr:col>7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Data">
                <anchor moveWithCells="1" sizeWithCells="1">
                  <from>
                    <xdr:col>5</xdr:col>
                    <xdr:colOff>0</xdr:colOff>
                    <xdr:row>32</xdr:row>
                    <xdr:rowOff>66675</xdr:rowOff>
                  </from>
                  <to>
                    <xdr:col>7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Throttle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2020-07-24T08:41:21Z</dcterms:created>
  <dcterms:modified xsi:type="dcterms:W3CDTF">2020-07-30T09:35:24Z</dcterms:modified>
</cp:coreProperties>
</file>